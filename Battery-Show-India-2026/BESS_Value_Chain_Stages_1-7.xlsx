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alue Chain 1-7" sheetId="1" state="visible" r:id="rId3"/>
    <sheet name="Players by Stage" sheetId="2" state="visible" r:id="rId4"/>
    <sheet name="Market Shares" sheetId="3" state="visible" r:id="rId5"/>
    <sheet name="Indian Players" sheetId="4" state="visible" r:id="rId6"/>
    <sheet name="Source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46" authorId="0">
      <text>
        <r>
          <rPr>
            <sz val="10"/>
            <rFont val="Arial"/>
            <family val="2"/>
          </rPr>
          <t xml:space="preserve">= top-5 combined 47.5% minus CATL 13.5% (source gives no split for the other four)</t>
        </r>
      </text>
    </comment>
    <comment ref="C92" authorId="0">
      <text>
        <r>
          <rPr>
            <sz val="10"/>
            <rFont val="Arial"/>
            <family val="2"/>
          </rPr>
          <t xml:space="preserve">USGS Mineral Commodity Summaries 2026 – lithium, 2025 estimate, excludes US production</t>
        </r>
      </text>
    </comment>
  </commentList>
</comments>
</file>

<file path=xl/sharedStrings.xml><?xml version="1.0" encoding="utf-8"?>
<sst xmlns="http://schemas.openxmlformats.org/spreadsheetml/2006/main" count="1037" uniqueCount="608">
  <si>
    <t xml:space="preserve">BESS value chain, stages 1–7: materials, players, market shares and Indian players</t>
  </si>
  <si>
    <t xml:space="preserve">Market shares are global unless stated; 'n/a' = no reliable public share data (segment is fragmented or in-house). See the Market Shares and Sources sheets.</t>
  </si>
  <si>
    <t xml:space="preserve">No.</t>
  </si>
  <si>
    <t xml:space="preserve">Stage</t>
  </si>
  <si>
    <t xml:space="preserve">Scope</t>
  </si>
  <si>
    <t xml:space="preserve">Key materials &amp; components</t>
  </si>
  <si>
    <t xml:space="preserve">Major global players</t>
  </si>
  <si>
    <t xml:space="preserve">Market share (approx.)</t>
  </si>
  <si>
    <t xml:space="preserve">Indian players</t>
  </si>
  <si>
    <t xml:space="preserve">India status / notes</t>
  </si>
  <si>
    <t xml:space="preserve">Main sources</t>
  </si>
  <si>
    <t xml:space="preserve">Raw materials &amp; chemicals</t>
  </si>
  <si>
    <t xml:space="preserve">Lithium, graphite, LFP cathode materials, electrolytes, separators</t>
  </si>
  <si>
    <t xml:space="preserve">• Lithium carbonate / hydroxide (from spodumene or brine)
• iron phosphate and purified phosphoric acid (LFP precursors)
• natural and synthetic graphite (anode)
• LiPF6 salt + carbonate solvents (EC, DMC, EMC) for electrolyte
• PE/PP separator film with ceramic coating
• copper foil (anode) and aluminium foil (cathode)
• binders (PVDF, CMC, SBR) and conductive carbon</t>
  </si>
  <si>
    <t xml:space="preserve">• Lithium: Albemarle, SQM, Ganfeng, Tianqi, Pilbara Minerals, Mineral Resources, Rio Tinto
• LFP cathode: Hunan Yuneng, Hubei Wanrun, Dynanonic, Youshan (Huayou), Lopal, Gotion
• Anode: BTR, Shanshan, Putailai
• Electrolyte: Tinci, Capchem, Guotai-Huarong
• Separator: SEMCORP, Senior, Sinoma</t>
  </si>
  <si>
    <t xml:space="preserve">• Lithium mine output 2025: Australia ~32%, China ~21%, Chile ~19%, Zimbabwe ~10%, Argentina ~8% (USGS)
• China's share of processing: graphite &gt;90%, anodes 85%, electrolytes 82%, separators 74%, cathodes 70%
• LFP = 72% of 2025 cathode shipments (4.95 Mt)
• Hunan Yuneng largest (1.14 Mt)
• SEMCORP ≈ 39% of China separator shipments 2024</t>
  </si>
  <si>
    <t xml:space="preserve">• Altmin (LFP cathode, Telangana)
• Himadri Speciality Chemical (40,000 tpa LFP, Odisha, by late 2027)
• Gujarat Fluorochemicals (LFP line + commercial LiPF6, Dahej)
• Neogen Chemicals (electrolyte, LiPF6 with Morita)
• Epsilon Advanced Materials (anode, Karnataka)
• HEG and Graphite India (anode plants)
• Hindalco (battery copper / aluminium foil)
• TCPL Packaging (separator entry announced)
• Sudeep Advanced Materials
• Lohum, Attero (recycling)</t>
  </si>
  <si>
    <t xml:space="preserve">• Very early stage: India depends on imported lithium salts and precursors
• no commercial Li-ion separator plant yet
• A ~Rs 12,000–13,000 crore battery-materials incentive scheme is under approval</t>
  </si>
  <si>
    <t xml:space="preserve">USGS MCS 2026; US EIA; SNE Research via Asia Business Daily (Jun 2026); SMM; Swarajya</t>
  </si>
  <si>
    <t xml:space="preserve">Battery cell manufacturing</t>
  </si>
  <si>
    <t xml:space="preserve">LFP and other stationary-storage battery cells</t>
  </si>
  <si>
    <t xml:space="preserve">• LFP cathode, graphite anode, electrolyte, separator, Cu/Al foils, binders
• prismatic aluminium cans, tabs, vents
• process: mixing, coating, calendering, slitting, winding / stacking, electrolyte filling, formation and grading
• Sizes: 280 → 314 Ah standard, 500 Ah+ (587/588 Ah) ramping in 2026</t>
  </si>
  <si>
    <t xml:space="preserve">• CATL, Hithium, EVE Energy, BYD, CALB, REPT Battero, CORNEX (top ESS cell suppliers)
• LG Energy Solution and Samsung SDI dropped out of the 2025 top 10</t>
  </si>
  <si>
    <t xml:space="preserve">• ESS cells 2025: CATL 20%, Hithium ~12%, EVE ~12%, BYD 10%
• top 10 = 88.8%, all Chinese. 612 GWh shipped in 2025 (+95%)
• China ≈ 85% of global cell production capacity</t>
  </si>
  <si>
    <t xml:space="preserve">• Ola Electric (Krishnagiri TN, ~5 GWh NMC 4680, running)
• Exide Energy Solutions (Bengaluru, 6 GWh phase 1 → 12 GWh, SVOLT technology, NMC + LFP)
• Amara Raja (Telangana, 4 GWh phase 1 from Q2–Q3 FY27, 16 GWh target, LFP with Gotion-InoBat)
• Reliance New Energy (Jamnagar, ramping)
• Agratas (Tata)
• Rajesh Exports (ACC PLI)
• Waaree (16 GWh cell-to-BESS plan)
• Nash Energy (Made-in-India LFP cells shown)</t>
  </si>
  <si>
    <t xml:space="preserve">• Only ~2 GWh of 223 GWh announced Indian cell capacity was running (mostly Ola)
• India imported USD 4.93 bn of Li-ion batteries in FY26 (+57%), ~94% from China
• ACC PLI scheme Rs 18,100 crore</t>
  </si>
  <si>
    <t xml:space="preserve">InfoLink (Feb 2026); Benchmark via Energy-Storage.News; US EIA; Swarajya; The Machine Maker; Zetwerk</t>
  </si>
  <si>
    <t xml:space="preserve">Battery pack &amp; rack</t>
  </si>
  <si>
    <t xml:space="preserve">Modules, racks, enclosures, thermal management and safety</t>
  </si>
  <si>
    <t xml:space="preserve">• LFP prismatic cells (314 Ah standard
• 500 Ah+ ramping in 2026)
• aluminium/steel module housings and racks
• copper/aluminium busbars
• aluminium liquid-cooling plates, glycol coolant and chillers / HVAC
• thermal pads and insulation (PC/PP, mica)
• steel ISO containers or outdoor cabinets (IP55)
• fire safety: smoke/heat/gas (H2, CO) detectors, aerosol suppression, deflagration vents
• MSD, fuses, connectors, HV cabling</t>
  </si>
  <si>
    <t xml:space="preserve">• CATL, Hithium, EVE Energy, BYD, CALB, REPT Battero (cells, modules, racks)
• Envicool (liquid cooling)
• CIMC (containers)</t>
  </si>
  <si>
    <t xml:space="preserve">• Packs/racks mostly come from the cell makers (see stage 2)
• BESS containers &amp; enclosures 2025: CATL 13.5%, top 5 (CATL, Tesla, Sungrow, Fluence, BYD) ≈ 47.5%</t>
  </si>
  <si>
    <t xml:space="preserve">• Nash Energy (2 GWh automated pack line, Bengaluru
• Made-in-India LFP cell shown)
• Waaree ESS (5.15 GWh containers
• 20 GWh cell &amp; pack plan)
• Loom Solar (3 GWh BESS, catalogue)
• UnityESS / Ornate Solar (1 GWh+, 5 GWh cell-to-pack plant, Alwar)
• PACE Digitek (5 GWh, 10 GWh planned)
• Powertrac (10 GWh, Gujarat)
• Pratap Group – Voltters (3 GWh, MP)
• Prostarm (1.2 GWh, Jhajjar)
• iPower Batteries
• Voltra Energy</t>
  </si>
  <si>
    <t xml:space="preserve">• Pack and rack assembly is established in India
• cells are still mostly imported from China
• Landed LFP cell price in India USD 61–66/kWh vs ~USD 54/kWh in China (Aug 2026)</t>
  </si>
  <si>
    <t xml:space="preserve">InfoLink (Feb 2026); Benchmark via Energy-Storage.News; GMI (enclosures); IEEFA/JMK Sep 2026; company sources</t>
  </si>
  <si>
    <t xml:space="preserve">BMS, EMS &amp; software</t>
  </si>
  <si>
    <t xml:space="preserve">Cell monitoring, controls, optimisation and forecasting</t>
  </si>
  <si>
    <t xml:space="preserve">• BMS boards: analogue front-end (AFE) chips, MCUs (TI, ADI, NXP, Infineon), current sensors (shunt / Hall), contactors, relays, fuses, isolation monitors, CAN / RS-485 wiring
• EMS: industrial PCs / PLCs, SCADA, Modbus / IEC 61850 gateways, cloud software, price and solar forecasting, trading algorithms</t>
  </si>
  <si>
    <t xml:space="preserve">• BMS: Gaote Electronics, Xieneng (BMSer), Hyperstrong, BYD and Sungrow (in-house), Nuvation Energy
• EMS / software: Fluence (Mosaic), Tesla (Autobidder), Wärtsilä (GEMS), Emerson (Ovation SCADA)</t>
  </si>
  <si>
    <t xml:space="preserve">• ESS BMS: Gaote ~24.6% of global shipments in 2024 (company-reported, EESA)
• third-party BMS vendors &gt;60% of market
• EMS: n/a – mostly bundled with integrators</t>
  </si>
  <si>
    <t xml:space="preserve">• Adaptive Engineering (PLC / SCADA / EMS
• 1.4 GWh EMS-BESS deployed)
• Advait Battery Ecosystems (with Adaptive, BESS platform from Nov 2026)
• Xbattery (BharatBMS, Hyderabad)
• ION Energy (BMS, Mumbai)</t>
  </si>
  <si>
    <t xml:space="preserve">• Indian BMS/EMS firms are small but growing
• large projects use integrator software (e.g. Emerson Ovation controls Adani's 3.55 GWh Khavda BESS)</t>
  </si>
  <si>
    <t xml:space="preserve">Sina Finance / Gaote prospectus; ESS News (Jul 2026); Control Global; SolarQuarter</t>
  </si>
  <si>
    <t xml:space="preserve">PCS &amp; electrical equipment</t>
  </si>
  <si>
    <t xml:space="preserve">Bidirectional inverters, transformers, switchgear and protection</t>
  </si>
  <si>
    <t xml:space="preserve">• IGBT / SiC power modules, DC-link film capacitors, inductors and magnetics, heatsinks and liquid/air cooling, control boards
• MV transformers (CRGO steel, copper/aluminium windings, transformer oil), MV skids
• switchgear (copper busbars, vacuum interrupters, SF6 or SF6-free gas), MCCB / ACB breakers, protection relays, energy meters, surge protection</t>
  </si>
  <si>
    <t xml:space="preserve">• PCS: Sungrow, Huawei, Kehua, Sineng, NR Electric, SMA, Power Electronics, Delta
• Transformers / switchgear: Hitachi Energy, Siemens / Siemens Energy, Schneider Electric, ABB, GE Vernova
• Power semiconductors: Infineon, Mitsubishi Electric, Fuji Electric</t>
  </si>
  <si>
    <t xml:space="preserve">• PCS: no public global share split
• Sungrow ranked No. 1 among Chinese ESS PCS suppliers in 2025 (CNESA), followed by Kehua, Sineng, NR Electric
• Global ESS PCS market ≈ USD 5.4 bn (2023) → USD 11.6 bn (2030)</t>
  </si>
  <si>
    <t xml:space="preserve">• Delta Electronics India (made-in-India 1.1 MW PCS, Krishnagiri TN
• 110 MW order for Prostarm)
• Sineng Electric India (20 GW/yr plant
• 576 MW PCS for Khavda)
• Waaree (8.3 MVA MV skid shown at show)
• Hitachi Energy India, CG Power, Siemens India, Transformers &amp; Rectifiers, Voltamp (transformers)
• L&amp;T / Lauritz Knudsen, ABB India, Schneider India (switchgear)</t>
  </si>
  <si>
    <t xml:space="preserve">• Transformers and switchgear are well localised
• PCS increasingly assembled in India but IGBT/SiC chips are imported</t>
  </si>
  <si>
    <t xml:space="preserve">Solarplaza (CNESA ranking); TYCORUN; pv magazine India (Jan 2026); SolarQuarter (Jan 2026)</t>
  </si>
  <si>
    <t xml:space="preserve">System integration</t>
  </si>
  <si>
    <t xml:space="preserve">Containerized BESS, controls, testing and commissioning</t>
  </si>
  <si>
    <t xml:space="preserve">• Battery racks + BMS, PCS, EMS, HVAC / liquid cooling, fire suppression, DC and AC cabling, auxiliary power, SCADA
• factory acceptance testing (FAT), site acceptance testing (SAT)
• certifications such as IEC 62619, IEC 62933, UL 9540 / 9540A</t>
  </si>
  <si>
    <t xml:space="preserve">• BYD, Tesla, Sungrow, CRRC Zhuzhou, CATL, Hithium, Huawei, Envision, Sunwoda, Fluence (top 10, 2025)
• also Wärtsilä, Hyperstrong</t>
  </si>
  <si>
    <t xml:space="preserve">• 2025 (Benchmark): BYD 13%, Tesla 10%, Sungrow 9%, CRRC Zhuzhou 6%, CATL 6%, Hithium 6%, Huawei 5%, Envision 5%, Sunwoda 4%, Fluence 4%
• Chinese integrators 76% (Wood Mackenzie)
• ~460 GWh shipped</t>
  </si>
  <si>
    <t xml:space="preserve">• Waaree ESS
• Tata Power
• PACE Digitek (via Lineage Power)
• UnityESS (Ornate Solar)
• Prostarm
• Servotech
• Kalpa Power (WATTBANK)
• Loom Solar
• Voltra Energy
• MAS Solar
• Nash Energy
• Amara Raja
• Exide
• JSW Energy (5 GWh supply MoU with Rongjie)</t>
  </si>
  <si>
    <t xml:space="preserve">• Many Indian integrators build around imported cells
• foreign suppliers partner with Indian firms (e.g. RCT Group with Premier Energies, 12 GWh)</t>
  </si>
  <si>
    <t xml:space="preserve">Benchmark via EnergyTrend (May 2026); Wood Mackenzie (Jun 2026); Energy-Storage.News; IEEFA/JMK</t>
  </si>
  <si>
    <t xml:space="preserve">EPC &amp; project development</t>
  </si>
  <si>
    <t xml:space="preserve">Engineering, grid connection, installation and project delivery</t>
  </si>
  <si>
    <t xml:space="preserve">• Land and civil works (foundations, drainage, fencing), MV/HV substation and transformers, cabling and trenches, grid connection (CTU / STU approvals), SCADA and RTU integration, fire-fighting systems, installation, testing and commissioning, O&amp;M contracts</t>
  </si>
  <si>
    <t xml:space="preserve">• Developers/owners and EPC: Fluence, Tesla, Wärtsilä (turnkey)
• EPC contractors such as Mortenson, Burns &amp; McDonnell, Black &amp; Veatch (US)</t>
  </si>
  <si>
    <t xml:space="preserve">• n/a – project-based and fragmented
• no public market-share data</t>
  </si>
  <si>
    <t xml:space="preserve">• Adani Green (Khavda 1,126 MW / 3,530 MWh)
• Sterling and Wilson (500 MW / 1 GWh EPC, Rajasthan)
• Tata Power Renewable Energy
• Waaree Renewable Technologies (291 MWp + 280 MWh)
• NTPC REL / NTPC Green
• ACME Solar
• Juniper Green
• Serentica
• Hero Solar
• NLC India Renewables
• Coal India (750 MWh EPC tender)</t>
  </si>
  <si>
    <t xml:space="preserve">• India: ~9.6 GWh BESS commissioned and ~54 GW awarded pipeline (Aug 2026)
• Aug 2026 tenders 3.16 GW / 11.86 GWh
• storage need projected at ~208 GWh by 2030</t>
  </si>
  <si>
    <t xml:space="preserve">IEEFA/JMK Sep 2026; ESS News; SolarQuarter (Jan 2026); The Machine Maker</t>
  </si>
  <si>
    <t xml:space="preserve">Global and Indian players, stage by stage (1–7)</t>
  </si>
  <si>
    <t xml:space="preserve">Shares are global 2025 unless stated. Indian players appear under every stage they work in. Links are on the Indian Players and Sources sheets.</t>
  </si>
  <si>
    <t xml:space="preserve">Stage 1 – Raw materials &amp; chemicals: Lithium, graphite, LFP cathode materials, electrolytes, separators</t>
  </si>
  <si>
    <t xml:space="preserve">Global players</t>
  </si>
  <si>
    <t xml:space="preserve">Country</t>
  </si>
  <si>
    <t xml:space="preserve">Role / share</t>
  </si>
  <si>
    <t xml:space="preserve">Location</t>
  </si>
  <si>
    <t xml:space="preserve">Capacity / role</t>
  </si>
  <si>
    <t xml:space="preserve">• Albemarle</t>
  </si>
  <si>
    <t xml:space="preserve">USA</t>
  </si>
  <si>
    <t xml:space="preserve">Lithium</t>
  </si>
  <si>
    <t xml:space="preserve">• Altmin</t>
  </si>
  <si>
    <t xml:space="preserve">Hyderabad / Telangana</t>
  </si>
  <si>
    <t xml:space="preserve">Rs 750 crore LFP plant under construction; pilot ~100 kg/day</t>
  </si>
  <si>
    <t xml:space="preserve">• SQM</t>
  </si>
  <si>
    <t xml:space="preserve">Chile</t>
  </si>
  <si>
    <t xml:space="preserve">• Himadri Speciality Chemical</t>
  </si>
  <si>
    <t xml:space="preserve">Odisha</t>
  </si>
  <si>
    <t xml:space="preserve">40,000 tpa LFP plant by late 2027</t>
  </si>
  <si>
    <t xml:space="preserve">• Ganfeng Lithium</t>
  </si>
  <si>
    <t xml:space="preserve">China</t>
  </si>
  <si>
    <t xml:space="preserve">• Gujarat Fluorochemicals (GFCL)</t>
  </si>
  <si>
    <t xml:space="preserve">Dahej, Gujarat</t>
  </si>
  <si>
    <t xml:space="preserve">LFP line commissioned; LiPF6 commercial; Rs 6,000 crore battery arm</t>
  </si>
  <si>
    <t xml:space="preserve">• Tianqi Lithium</t>
  </si>
  <si>
    <t xml:space="preserve">• Neogen Chemicals</t>
  </si>
  <si>
    <t xml:space="preserve">Gujarat</t>
  </si>
  <si>
    <t xml:space="preserve">Plants under construction</t>
  </si>
  <si>
    <t xml:space="preserve">• Pilbara Minerals</t>
  </si>
  <si>
    <t xml:space="preserve">Australia</t>
  </si>
  <si>
    <t xml:space="preserve">Lithium (spodumene)</t>
  </si>
  <si>
    <t xml:space="preserve">• Epsilon Advanced Materials</t>
  </si>
  <si>
    <t xml:space="preserve">Karnataka</t>
  </si>
  <si>
    <t xml:space="preserve">India's first anode qualification plant; Rs 145 crore incentive</t>
  </si>
  <si>
    <t xml:space="preserve">• Mineral Resources</t>
  </si>
  <si>
    <t xml:space="preserve">• HEG / Graphite India</t>
  </si>
  <si>
    <t xml:space="preserve">India</t>
  </si>
  <si>
    <t xml:space="preserve">Rs 1,893 crore / Rs 4,330 crore investments</t>
  </si>
  <si>
    <t xml:space="preserve">• Rio Tinto (Arcadium Lithium)</t>
  </si>
  <si>
    <t xml:space="preserve">UK / Australia</t>
  </si>
  <si>
    <t xml:space="preserve">• Hindalco</t>
  </si>
  <si>
    <t xml:space="preserve">Gujarat / Odisha</t>
  </si>
  <si>
    <t xml:space="preserve">11,500 t copper battery-foil plant announced</t>
  </si>
  <si>
    <t xml:space="preserve">• Hunan Yuneng</t>
  </si>
  <si>
    <t xml:space="preserve">LFP cathode – largest, 1.14 Mt in 2025</t>
  </si>
  <si>
    <t xml:space="preserve">• TCPL Packaging</t>
  </si>
  <si>
    <t xml:space="preserve">500 million m² target over 5–7 years</t>
  </si>
  <si>
    <t xml:space="preserve">• Hubei Wanrun</t>
  </si>
  <si>
    <t xml:space="preserve">LFP cathode</t>
  </si>
  <si>
    <t xml:space="preserve">• Attero (also Lohum)</t>
  </si>
  <si>
    <t xml:space="preserve">Roorkee, Uttarakhand</t>
  </si>
  <si>
    <t xml:space="preserve">Attero ~15,000 t/yr Li-ion recycling, target ~50,000 t/yr</t>
  </si>
  <si>
    <t xml:space="preserve">• Dynanonic</t>
  </si>
  <si>
    <t xml:space="preserve">• Youshan (Huayou Cobalt)</t>
  </si>
  <si>
    <t xml:space="preserve">Cathode</t>
  </si>
  <si>
    <t xml:space="preserve">• Lopal</t>
  </si>
  <si>
    <t xml:space="preserve">• BTR</t>
  </si>
  <si>
    <t xml:space="preserve">Graphite anode</t>
  </si>
  <si>
    <t xml:space="preserve">• Shanshan</t>
  </si>
  <si>
    <t xml:space="preserve">• Putailai</t>
  </si>
  <si>
    <t xml:space="preserve">Anode, separator coating</t>
  </si>
  <si>
    <t xml:space="preserve">• Tinci</t>
  </si>
  <si>
    <t xml:space="preserve">Electrolyte</t>
  </si>
  <si>
    <t xml:space="preserve">• Capchem</t>
  </si>
  <si>
    <t xml:space="preserve">• Guotai-Huarong</t>
  </si>
  <si>
    <t xml:space="preserve">• SEMCORP</t>
  </si>
  <si>
    <t xml:space="preserve">Separator – ~39% of China shipments</t>
  </si>
  <si>
    <t xml:space="preserve">• Senior</t>
  </si>
  <si>
    <t xml:space="preserve">Separator</t>
  </si>
  <si>
    <t xml:space="preserve">• Sinoma</t>
  </si>
  <si>
    <t xml:space="preserve">Stage 2 – Battery cell manufacturing: LFP and other stationary-storage battery cells</t>
  </si>
  <si>
    <t xml:space="preserve">• CATL</t>
  </si>
  <si>
    <t xml:space="preserve">ESS cells – 20% (2025)</t>
  </si>
  <si>
    <t xml:space="preserve">• Ola Electric (Ola Cell)</t>
  </si>
  <si>
    <t xml:space="preserve">Krishnagiri, Tamil Nadu</t>
  </si>
  <si>
    <t xml:space="preserve">~5 GWh running; up to 20 GWh ESS MoU by 2032</t>
  </si>
  <si>
    <t xml:space="preserve">• Hithium</t>
  </si>
  <si>
    <t xml:space="preserve">ESS cells – ~12%</t>
  </si>
  <si>
    <t xml:space="preserve">• Exide Energy Solutions</t>
  </si>
  <si>
    <t xml:space="preserve">Bengaluru, Karnataka</t>
  </si>
  <si>
    <t xml:space="preserve">6 GWh phase 1 → 12 GWh</t>
  </si>
  <si>
    <t xml:space="preserve">• EVE Energy</t>
  </si>
  <si>
    <t xml:space="preserve">• Amara Raja (ARAT)</t>
  </si>
  <si>
    <t xml:space="preserve">Telangana</t>
  </si>
  <si>
    <t xml:space="preserve">4 GWh phase 1 (Q2–Q3 FY27) → 16 GWh</t>
  </si>
  <si>
    <t xml:space="preserve">• BYD</t>
  </si>
  <si>
    <t xml:space="preserve">ESS cells – 10%</t>
  </si>
  <si>
    <t xml:space="preserve">• Reliance New Energy</t>
  </si>
  <si>
    <t xml:space="preserve">Jamnagar, Gujarat</t>
  </si>
  <si>
    <t xml:space="preserve">Ramping in 2026 (ACC PLI)</t>
  </si>
  <si>
    <t xml:space="preserve">• CALB</t>
  </si>
  <si>
    <t xml:space="preserve">ESS cells – top 6</t>
  </si>
  <si>
    <t xml:space="preserve">• Agratas (Tata Group)</t>
  </si>
  <si>
    <t xml:space="preserve">Sanand, Gujarat</t>
  </si>
  <si>
    <t xml:space="preserve">20 GWh phase 1, production expected 2027</t>
  </si>
  <si>
    <t xml:space="preserve">• REPT Battero</t>
  </si>
  <si>
    <t xml:space="preserve">• CORNEX</t>
  </si>
  <si>
    <t xml:space="preserve">ESS cells – top 5 (Benchmark)</t>
  </si>
  <si>
    <t xml:space="preserve">• Gotion High-Tech</t>
  </si>
  <si>
    <t xml:space="preserve">LFP cells</t>
  </si>
  <si>
    <t xml:space="preserve">• LG Energy Solution</t>
  </si>
  <si>
    <t xml:space="preserve">South Korea</t>
  </si>
  <si>
    <t xml:space="preserve">648 Ah LFP ESS cell (shown at show)</t>
  </si>
  <si>
    <t xml:space="preserve">• Samsung SDI</t>
  </si>
  <si>
    <t xml:space="preserve">ESS cells – out of 2025 top 10</t>
  </si>
  <si>
    <t xml:space="preserve">Stage 3 – Battery pack &amp; rack: Modules, racks, enclosures, thermal management and safety</t>
  </si>
  <si>
    <t xml:space="preserve">Modules, racks, containers – 13.5% of enclosures (2025)</t>
  </si>
  <si>
    <t xml:space="preserve">Racks and containers</t>
  </si>
  <si>
    <t xml:space="preserve">• Waaree ESS (Waaree Energies)</t>
  </si>
  <si>
    <t xml:space="preserve">Maharashtra / Anakapalli (AP)</t>
  </si>
  <si>
    <t xml:space="preserve">5.15 GWh container plant (Jul 2026); 16 GWh gigafactory planned; 20 GWh cell &amp; pack plan</t>
  </si>
  <si>
    <t xml:space="preserve">Modules and racks</t>
  </si>
  <si>
    <t xml:space="preserve">• Nash Energy</t>
  </si>
  <si>
    <t xml:space="preserve">2 GWh automated pack line; 10 GWh target in 5 years</t>
  </si>
  <si>
    <t xml:space="preserve">• Tesla</t>
  </si>
  <si>
    <t xml:space="preserve">Megapack enclosures</t>
  </si>
  <si>
    <t xml:space="preserve">• Premier Energies</t>
  </si>
  <si>
    <t xml:space="preserve">12 GWh BESS plant, 6 GWh phase 1 (Jun 2027)</t>
  </si>
  <si>
    <t xml:space="preserve">• Sungrow</t>
  </si>
  <si>
    <t xml:space="preserve">PowerTitan enclosures</t>
  </si>
  <si>
    <t xml:space="preserve">• Loom Solar</t>
  </si>
  <si>
    <t xml:space="preserve">Faridabad, Haryana</t>
  </si>
  <si>
    <t xml:space="preserve">3 GWh BESS manufacturing (catalogue)</t>
  </si>
  <si>
    <t xml:space="preserve">• Fluence</t>
  </si>
  <si>
    <t xml:space="preserve">Cubes / enclosures</t>
  </si>
  <si>
    <t xml:space="preserve">• UnityESS (Ornate Solar)</t>
  </si>
  <si>
    <t xml:space="preserve">New Delhi; Alwar (RJ)</t>
  </si>
  <si>
    <t xml:space="preserve">1 GWh+ today; 5 GWh cell-to-pack + 6.5 GWh pack-to-container plant</t>
  </si>
  <si>
    <t xml:space="preserve">• CIMC</t>
  </si>
  <si>
    <t xml:space="preserve">Steel BESS containers</t>
  </si>
  <si>
    <t xml:space="preserve">• Voltra Energy</t>
  </si>
  <si>
    <t xml:space="preserve">Gurugram, Haryana</t>
  </si>
  <si>
    <t xml:space="preserve">1 MW / 2 MWh units for 10–20 MW projects</t>
  </si>
  <si>
    <t xml:space="preserve">• Envicool</t>
  </si>
  <si>
    <t xml:space="preserve">Liquid-cooling units</t>
  </si>
  <si>
    <t xml:space="preserve">• iPower Batteries</t>
  </si>
  <si>
    <t xml:space="preserve">Sonipat, Haryana</t>
  </si>
  <si>
    <t xml:space="preserve">261 kWh liquid-cooled C&amp;I cabinet launched</t>
  </si>
  <si>
    <t xml:space="preserve">• PACE Digitek (Lineage Power)</t>
  </si>
  <si>
    <t xml:space="preserve">5 GWh, 10 GWh planned by FY2027; 100 MWh order</t>
  </si>
  <si>
    <t xml:space="preserve">• Powertrac Group</t>
  </si>
  <si>
    <t xml:space="preserve">10 GWh facility (groundbreaking)</t>
  </si>
  <si>
    <t xml:space="preserve">• Pratap Group – Voltters Technologies</t>
  </si>
  <si>
    <t xml:space="preserve">Madhya Pradesh</t>
  </si>
  <si>
    <t xml:space="preserve">3 GWh facility inaugurated</t>
  </si>
  <si>
    <t xml:space="preserve">• Prostarm Info Systems</t>
  </si>
  <si>
    <t xml:space="preserve">Jhajjar, Haryana</t>
  </si>
  <si>
    <t xml:space="preserve">1.2 GWh BESS plant under construction</t>
  </si>
  <si>
    <t xml:space="preserve">• Advait Battery Ecosystems</t>
  </si>
  <si>
    <t xml:space="preserve">Commissioning target Nov 2026</t>
  </si>
  <si>
    <t xml:space="preserve">Stage 4 – BMS, EMS &amp; software: Cell monitoring, controls, optimisation and forecasting</t>
  </si>
  <si>
    <t xml:space="preserve">• Gaote Electronics</t>
  </si>
  <si>
    <t xml:space="preserve">ESS BMS – ~24.6% (2024, company-reported)</t>
  </si>
  <si>
    <t xml:space="preserve">• Adaptive Engineering</t>
  </si>
  <si>
    <t xml:space="preserve">1.4 GWh EMS-BESS; 55 GW+ plant controllers</t>
  </si>
  <si>
    <t xml:space="preserve">• Xieneng (BMSer)</t>
  </si>
  <si>
    <t xml:space="preserve">ESS BMS</t>
  </si>
  <si>
    <t xml:space="preserve">• Hyperstrong</t>
  </si>
  <si>
    <t xml:space="preserve">BMS and integration</t>
  </si>
  <si>
    <t xml:space="preserve">• Xbattery</t>
  </si>
  <si>
    <t xml:space="preserve">Hyderabad</t>
  </si>
  <si>
    <t xml:space="preserve">BharatBMS – homegrown BMS</t>
  </si>
  <si>
    <t xml:space="preserve">• Nuvation Energy</t>
  </si>
  <si>
    <t xml:space="preserve">Third-party BMS</t>
  </si>
  <si>
    <t xml:space="preserve">• ION Energy</t>
  </si>
  <si>
    <t xml:space="preserve">Mumbai</t>
  </si>
  <si>
    <t xml:space="preserve">Battery management systems</t>
  </si>
  <si>
    <t xml:space="preserve">Mosaic bidding / EMS software</t>
  </si>
  <si>
    <t xml:space="preserve">Autobidder trading software</t>
  </si>
  <si>
    <t xml:space="preserve">• Wärtsilä</t>
  </si>
  <si>
    <t xml:space="preserve">Finland</t>
  </si>
  <si>
    <t xml:space="preserve">GEMS energy management</t>
  </si>
  <si>
    <t xml:space="preserve">• Emerson</t>
  </si>
  <si>
    <t xml:space="preserve">Ovation SCADA / plant control</t>
  </si>
  <si>
    <t xml:space="preserve">• Texas Instruments, Analog Devices, NXP, Infineon</t>
  </si>
  <si>
    <t xml:space="preserve">USA / Netherlands / Germany</t>
  </si>
  <si>
    <t xml:space="preserve">BMS chips (AFE, MCU)</t>
  </si>
  <si>
    <t xml:space="preserve">Stage 5 – PCS &amp; electrical equipment: Bidirectional inverters, transformers, switchgear and protection</t>
  </si>
  <si>
    <t xml:space="preserve">PCS – No. 1 Chinese supplier (CNESA 2025)</t>
  </si>
  <si>
    <t xml:space="preserve">• Huawei</t>
  </si>
  <si>
    <t xml:space="preserve">PCS / smart string ESS</t>
  </si>
  <si>
    <t xml:space="preserve">• Delta Electronics India</t>
  </si>
  <si>
    <t xml:space="preserve">110 MW PCS order (Prostarm)</t>
  </si>
  <si>
    <t xml:space="preserve">• Kehua Tech</t>
  </si>
  <si>
    <t xml:space="preserve">PCS – No. 2 (CNESA)</t>
  </si>
  <si>
    <t xml:space="preserve">• Sineng Electric (India plant)</t>
  </si>
  <si>
    <t xml:space="preserve">20 GW/yr plant; 576 MW PCS for Khavda</t>
  </si>
  <si>
    <t xml:space="preserve">• Sineng Electric</t>
  </si>
  <si>
    <t xml:space="preserve">PCS – No. 3 (CNESA); Indian plant</t>
  </si>
  <si>
    <t xml:space="preserve">• Hitachi Energy India, CG Power, Siemens India, Transformers &amp; Rectifiers, Voltamp</t>
  </si>
  <si>
    <t xml:space="preserve">Hitachi Energy: Rs 2,000 crore large power transformer plant, Vadodara, by FY28</t>
  </si>
  <si>
    <t xml:space="preserve">• NR Electric</t>
  </si>
  <si>
    <t xml:space="preserve">PCS</t>
  </si>
  <si>
    <t xml:space="preserve">• SMA</t>
  </si>
  <si>
    <t xml:space="preserve">Germany</t>
  </si>
  <si>
    <t xml:space="preserve">PCS / inverters</t>
  </si>
  <si>
    <t xml:space="preserve">• Power Electronics</t>
  </si>
  <si>
    <t xml:space="preserve">Spain</t>
  </si>
  <si>
    <t xml:space="preserve">• Delta Electronics</t>
  </si>
  <si>
    <t xml:space="preserve">Taiwan</t>
  </si>
  <si>
    <t xml:space="preserve">PCS; Indian plant</t>
  </si>
  <si>
    <t xml:space="preserve">• Hitachi Energy</t>
  </si>
  <si>
    <t xml:space="preserve">Switzerland / Japan</t>
  </si>
  <si>
    <t xml:space="preserve">Transformers, grid equipment</t>
  </si>
  <si>
    <t xml:space="preserve">• Siemens Energy</t>
  </si>
  <si>
    <t xml:space="preserve">Transformers, switchgear</t>
  </si>
  <si>
    <t xml:space="preserve">• Schneider Electric</t>
  </si>
  <si>
    <t xml:space="preserve">France</t>
  </si>
  <si>
    <t xml:space="preserve">Switchgear, protection</t>
  </si>
  <si>
    <t xml:space="preserve">• ABB</t>
  </si>
  <si>
    <t xml:space="preserve">Switzerland</t>
  </si>
  <si>
    <t xml:space="preserve">• GE Vernova</t>
  </si>
  <si>
    <t xml:space="preserve">Transformers, grid</t>
  </si>
  <si>
    <t xml:space="preserve">• Infineon, Mitsubishi Electric, Fuji Electric</t>
  </si>
  <si>
    <t xml:space="preserve">Germany / Japan</t>
  </si>
  <si>
    <t xml:space="preserve">IGBT / SiC power modules</t>
  </si>
  <si>
    <t xml:space="preserve">Stage 6 – System integration: Containerized BESS, controls, testing and commissioning</t>
  </si>
  <si>
    <t xml:space="preserve">13% (2025)</t>
  </si>
  <si>
    <t xml:space="preserve">10%</t>
  </si>
  <si>
    <t xml:space="preserve">9%</t>
  </si>
  <si>
    <t xml:space="preserve">• CRRC Zhuzhou</t>
  </si>
  <si>
    <t xml:space="preserve">6%</t>
  </si>
  <si>
    <t xml:space="preserve">5%</t>
  </si>
  <si>
    <t xml:space="preserve">• Envision</t>
  </si>
  <si>
    <t xml:space="preserve">• Sunwoda</t>
  </si>
  <si>
    <t xml:space="preserve">4%</t>
  </si>
  <si>
    <t xml:space="preserve">• MAS Solar Systems</t>
  </si>
  <si>
    <t xml:space="preserve">Coimbatore, Tamil Nadu</t>
  </si>
  <si>
    <t xml:space="preserve">Solar EPC + BESS 5 kWh to 5 MWh</t>
  </si>
  <si>
    <t xml:space="preserve">Integrator</t>
  </si>
  <si>
    <t xml:space="preserve">• Tata Power Renewable Energy</t>
  </si>
  <si>
    <t xml:space="preserve">Pan-India</t>
  </si>
  <si>
    <t xml:space="preserve">BESS tender wins</t>
  </si>
  <si>
    <t xml:space="preserve">• JSW Energy</t>
  </si>
  <si>
    <t xml:space="preserve">5 GWh ESS supply MoU with Rongjie Energy</t>
  </si>
  <si>
    <t xml:space="preserve">Stage 7 – EPC &amp; project development: Engineering, grid connection, installation and project delivery</t>
  </si>
  <si>
    <t xml:space="preserve">Turnkey delivery</t>
  </si>
  <si>
    <t xml:space="preserve">Turnkey Megapack projects</t>
  </si>
  <si>
    <t xml:space="preserve">• Adani Green Energy</t>
  </si>
  <si>
    <t xml:space="preserve">Khavda, Gujarat</t>
  </si>
  <si>
    <t xml:space="preserve">1,126 MW / 3,530 MWh BESS</t>
  </si>
  <si>
    <t xml:space="preserve">• Mortenson</t>
  </si>
  <si>
    <t xml:space="preserve">EPC contractor</t>
  </si>
  <si>
    <t xml:space="preserve">• Sterling and Wilson Renewable Energy</t>
  </si>
  <si>
    <t xml:space="preserve">Rajasthan</t>
  </si>
  <si>
    <t xml:space="preserve">500 MW / 1 GWh standalone BESS EPC</t>
  </si>
  <si>
    <t xml:space="preserve">• Burns &amp; McDonnell</t>
  </si>
  <si>
    <t xml:space="preserve">EPC / engineering</t>
  </si>
  <si>
    <t xml:space="preserve">• Black &amp; Veatch</t>
  </si>
  <si>
    <t xml:space="preserve">• NTPC REL / NTPC Green, ACME Solar, Juniper Green, Serentica, Hero Solar, NLC India</t>
  </si>
  <si>
    <t xml:space="preserve">Part of ~54 GW awarded pipeline</t>
  </si>
  <si>
    <t xml:space="preserve">Global market shares (approx.)</t>
  </si>
  <si>
    <t xml:space="preserve">Shares stored as fractions; 'Others' is a formula (1 − named companies). Blue = hard-coded input from the source in column C.</t>
  </si>
  <si>
    <t xml:space="preserve">Stage 2 – ESS battery cells (2025)</t>
  </si>
  <si>
    <t xml:space="preserve">Share of global ESS cell shipments; total ≈ 612 GWh (InfoLink)</t>
  </si>
  <si>
    <t xml:space="preserve">Company</t>
  </si>
  <si>
    <t xml:space="preserve">Share</t>
  </si>
  <si>
    <t xml:space="preserve">Source</t>
  </si>
  <si>
    <t xml:space="preserve">CATL</t>
  </si>
  <si>
    <t xml:space="preserve">Benchmark Mineral Intelligence via Energy-Storage.News (2026); Hithium and EVE given as ~12%</t>
  </si>
  <si>
    <t xml:space="preserve">Hithium</t>
  </si>
  <si>
    <t xml:space="preserve">EVE Energy</t>
  </si>
  <si>
    <t xml:space="preserve">BYD</t>
  </si>
  <si>
    <t xml:space="preserve">Others</t>
  </si>
  <si>
    <t xml:space="preserve">Calculated</t>
  </si>
  <si>
    <t xml:space="preserve">Stage 6 – BESS system integrators (2025)</t>
  </si>
  <si>
    <t xml:space="preserve">Share of global BESS shipments; total ≈ 460 GWh</t>
  </si>
  <si>
    <t xml:space="preserve">Benchmark Mineral Intelligence via EnergyTrend (May 2026)</t>
  </si>
  <si>
    <t xml:space="preserve">Tesla</t>
  </si>
  <si>
    <t xml:space="preserve">Sungrow</t>
  </si>
  <si>
    <t xml:space="preserve">CRRC Zhuzhou</t>
  </si>
  <si>
    <t xml:space="preserve">Huawei</t>
  </si>
  <si>
    <t xml:space="preserve">Envision</t>
  </si>
  <si>
    <t xml:space="preserve">Sunwoda</t>
  </si>
  <si>
    <t xml:space="preserve">Fluence</t>
  </si>
  <si>
    <t xml:space="preserve">Stage 3 – BESS containers &amp; enclosures (2025)</t>
  </si>
  <si>
    <t xml:space="preserve">Share of global BESS container &amp; enclosure market (USD 6.8 bn in 2025)</t>
  </si>
  <si>
    <t xml:space="preserve">Global Market Insights (2025 values); top 5 combined 47.5%</t>
  </si>
  <si>
    <t xml:space="preserve">Tesla + Sungrow + Fluence + BYD (combined)</t>
  </si>
  <si>
    <t xml:space="preserve">Stage 4 – ESS BMS (2024)</t>
  </si>
  <si>
    <t xml:space="preserve">Share of global ESS BMS shipments</t>
  </si>
  <si>
    <t xml:space="preserve">Gaote Electronics</t>
  </si>
  <si>
    <t xml:space="preserve">Gaote prospectus / EESA via Sina Finance (company-reported)</t>
  </si>
  <si>
    <t xml:space="preserve">Third-party BMS vendors held &gt;60% of the ESS BMS market in 2024 (EESA); the rest is in-house BMS of integrators.</t>
  </si>
  <si>
    <t xml:space="preserve">Stage 5 – ESS PCS ranking (no public share split)</t>
  </si>
  <si>
    <t xml:space="preserve">Rank</t>
  </si>
  <si>
    <t xml:space="preserve">CNESA 2025 ranking of Chinese PCS suppliers by global shipments (via Solarplaza)</t>
  </si>
  <si>
    <t xml:space="preserve">Kehua Tech</t>
  </si>
  <si>
    <t xml:space="preserve">Sineng</t>
  </si>
  <si>
    <t xml:space="preserve">NR Electric</t>
  </si>
  <si>
    <t xml:space="preserve">Soaring</t>
  </si>
  <si>
    <t xml:space="preserve">Times Electric</t>
  </si>
  <si>
    <t xml:space="preserve">IN-Power</t>
  </si>
  <si>
    <t xml:space="preserve">Inovance</t>
  </si>
  <si>
    <t xml:space="preserve">Hopewind</t>
  </si>
  <si>
    <t xml:space="preserve">XJ Power Electronics</t>
  </si>
  <si>
    <t xml:space="preserve">Stage 1 – Lithium mine production by country (2025 est.)</t>
  </si>
  <si>
    <t xml:space="preserve">Tonnes of lithium content; share = country ÷ world total (excl. US, withheld)</t>
  </si>
  <si>
    <t xml:space="preserve">Tonnes (Li content)</t>
  </si>
  <si>
    <t xml:space="preserve">Zimbabwe</t>
  </si>
  <si>
    <t xml:space="preserve">Argentina</t>
  </si>
  <si>
    <t xml:space="preserve">Brazil</t>
  </si>
  <si>
    <t xml:space="preserve">Mali</t>
  </si>
  <si>
    <t xml:space="preserve">Canada</t>
  </si>
  <si>
    <t xml:space="preserve">World total (rounded)</t>
  </si>
  <si>
    <t xml:space="preserve">Stage 1–2 – China's share of global processing / production</t>
  </si>
  <si>
    <t xml:space="preserve">Material / step</t>
  </si>
  <si>
    <t xml:space="preserve">China share</t>
  </si>
  <si>
    <t xml:space="preserve">Graphite processing</t>
  </si>
  <si>
    <t xml:space="preserve">US EIA (&gt;90%)</t>
  </si>
  <si>
    <t xml:space="preserve">Anodes (2022)</t>
  </si>
  <si>
    <t xml:space="preserve">US EIA</t>
  </si>
  <si>
    <t xml:space="preserve">Electrolytes (2022)</t>
  </si>
  <si>
    <t xml:space="preserve">Separators (2022)</t>
  </si>
  <si>
    <t xml:space="preserve">Cathodes (2022)</t>
  </si>
  <si>
    <t xml:space="preserve">Cell production capacity (2023)</t>
  </si>
  <si>
    <t xml:space="preserve">US EIA (≈85% by value)</t>
  </si>
  <si>
    <t xml:space="preserve">Stage 1 – Top cathode material suppliers (2025)</t>
  </si>
  <si>
    <t xml:space="preserve">Shipments in tonnes (LFP + ternary); share = supplier ÷ total cathode shipments 4.95 Mt (SNE Research)</t>
  </si>
  <si>
    <t xml:space="preserve">Supplier</t>
  </si>
  <si>
    <t xml:space="preserve">Tonnes</t>
  </si>
  <si>
    <t xml:space="preserve">Hunan Yuneng</t>
  </si>
  <si>
    <t xml:space="preserve">Hubei Wanrun</t>
  </si>
  <si>
    <t xml:space="preserve">Dynanonic</t>
  </si>
  <si>
    <t xml:space="preserve">Youshan (Huayou)</t>
  </si>
  <si>
    <t xml:space="preserve">Lopal</t>
  </si>
  <si>
    <t xml:space="preserve">Gotion</t>
  </si>
  <si>
    <t xml:space="preserve">Total cathode shipments</t>
  </si>
  <si>
    <t xml:space="preserve">Indian players across stages 1–7</t>
  </si>
  <si>
    <t xml:space="preserve">Stage(s)</t>
  </si>
  <si>
    <t xml:space="preserve">What they do</t>
  </si>
  <si>
    <t xml:space="preserve">Capacity / key project</t>
  </si>
  <si>
    <t xml:space="preserve">Source link 1</t>
  </si>
  <si>
    <t xml:space="preserve">Source link 2</t>
  </si>
  <si>
    <t xml:space="preserve">Altmin</t>
  </si>
  <si>
    <t xml:space="preserve">1</t>
  </si>
  <si>
    <t xml:space="preserve">LFP cathode active material (ARCI process)</t>
  </si>
  <si>
    <t xml:space="preserve">Swarajya; Benchmark</t>
  </si>
  <si>
    <t xml:space="preserve">https://swarajyamag.com/technology/cathode-anode-separator-foil-electrolyte-can-government-incentives-help-india-crack-the-battery-code</t>
  </si>
  <si>
    <t xml:space="preserve">https://source.benchmarkminerals.com/article/site-visit-altmin-and-sudeep-advanced-material-support-indias-midstream-ambitions</t>
  </si>
  <si>
    <t xml:space="preserve">Himadri Speciality Chemical</t>
  </si>
  <si>
    <t xml:space="preserve">LFP cathode material</t>
  </si>
  <si>
    <t xml:space="preserve">Swarajya; Autocar Pro</t>
  </si>
  <si>
    <t xml:space="preserve">https://www.autocarpro.in/news/himadri-maps-fy27-growth-push-with-battery-materials-birla-tyres-and-speciality-chemicals-132474</t>
  </si>
  <si>
    <t xml:space="preserve">Gujarat Fluorochemicals (GFCL)</t>
  </si>
  <si>
    <t xml:space="preserve">LFP cathode, LiPF6 salt, electrolyte</t>
  </si>
  <si>
    <t xml:space="preserve">Swarajya</t>
  </si>
  <si>
    <t xml:space="preserve">Neogen Chemicals</t>
  </si>
  <si>
    <t xml:space="preserve">Electrolyte (MU Ionic licence), LiPF6 with Morita</t>
  </si>
  <si>
    <t xml:space="preserve">Epsilon Advanced Materials</t>
  </si>
  <si>
    <t xml:space="preserve">Graphite anode material; LFP technology</t>
  </si>
  <si>
    <t xml:space="preserve">Swarajya; The Machine Maker (exhibitor list)</t>
  </si>
  <si>
    <t xml:space="preserve">https://themachinemaker.com/news/rei-expo-2026-and-the-battery-show-india-bring-1400-brands-to-greater-noida/</t>
  </si>
  <si>
    <t xml:space="preserve">HEG / Graphite India</t>
  </si>
  <si>
    <t xml:space="preserve">Synthetic graphite anode plants</t>
  </si>
  <si>
    <t xml:space="preserve">Hindalco</t>
  </si>
  <si>
    <t xml:space="preserve">Battery-grade copper and aluminium foil</t>
  </si>
  <si>
    <t xml:space="preserve">TCPL Packaging</t>
  </si>
  <si>
    <t xml:space="preserve">Li-ion separator film (planned entry)</t>
  </si>
  <si>
    <t xml:space="preserve">Attero (also Lohum)</t>
  </si>
  <si>
    <t xml:space="preserve">Li-ion battery recycling – recovered lithium, cobalt, nickel</t>
  </si>
  <si>
    <t xml:space="preserve">Outlook Business (May 2024)</t>
  </si>
  <si>
    <t xml:space="preserve">https://www.outlookbusiness.com/news/attero-plans-to-invest-over-rs-8000-crore-in-5-years-to-ramp-up-e-waste-battery-recycling-capacity</t>
  </si>
  <si>
    <t xml:space="preserve">Ola Electric (Ola Cell)</t>
  </si>
  <si>
    <t xml:space="preserve">2</t>
  </si>
  <si>
    <t xml:space="preserve">NMC 4680 cells (EV focus); BESS tie-up with Axis Energy</t>
  </si>
  <si>
    <t xml:space="preserve">Zetwerk; IEEFA/JMK</t>
  </si>
  <si>
    <t xml:space="preserve">https://www.zetwerk.com/blog/manufacturing-technology/ev-manufacturing-india-2026/</t>
  </si>
  <si>
    <t xml:space="preserve">https://ieefa.org/sites/default/files/2026-09/ESSjmk-0926.pdf</t>
  </si>
  <si>
    <t xml:space="preserve">Exide Energy Solutions</t>
  </si>
  <si>
    <t xml:space="preserve">2, 3</t>
  </si>
  <si>
    <t xml:space="preserve">NMC and LFP cells, modules, packs (SVOLT technology)</t>
  </si>
  <si>
    <t xml:space="preserve">The Machine Maker</t>
  </si>
  <si>
    <t xml:space="preserve">https://themachinemaker.com/news/exide-industries-to-launch-li-ion-cell-manufacturing-with-6gwh-capacity-by-fy26-end/</t>
  </si>
  <si>
    <t xml:space="preserve">Amara Raja (ARAT)</t>
  </si>
  <si>
    <t xml:space="preserve">2, 3, 6</t>
  </si>
  <si>
    <t xml:space="preserve">Cylindrical cells, LFP with Gotion-InoBat; BESS</t>
  </si>
  <si>
    <t xml:space="preserve">https://themachinemaker.com/news/amara-raja-postpones-launch-of-lithium-ion-cell-plant-to-fy27/</t>
  </si>
  <si>
    <t xml:space="preserve">Reliance New Energy</t>
  </si>
  <si>
    <t xml:space="preserve">2, 6</t>
  </si>
  <si>
    <t xml:space="preserve">Large-format cells and storage</t>
  </si>
  <si>
    <t xml:space="preserve">Zetwerk</t>
  </si>
  <si>
    <t xml:space="preserve">Agratas (Tata Group)</t>
  </si>
  <si>
    <t xml:space="preserve">Li-ion cells for EVs and energy storage</t>
  </si>
  <si>
    <t xml:space="preserve">pv magazine India (Apr 2026)</t>
  </si>
  <si>
    <t xml:space="preserve">https://www.pv-magazine-india.com/2026/04/02/agratas-advances-20-gwh-sanand-battery-facility</t>
  </si>
  <si>
    <t xml:space="preserve">Waaree ESS (Waaree Energies)</t>
  </si>
  <si>
    <t xml:space="preserve">3, 5, 6, 7</t>
  </si>
  <si>
    <t xml:space="preserve">BESS containers, cells &amp; packs; MV skids; EPC via Waaree Renewable Technologies</t>
  </si>
  <si>
    <t xml:space="preserve">Renewable Watch (Feb &amp; Jul 2026)</t>
  </si>
  <si>
    <t xml:space="preserve">https://renewablewatch.in/2026/07/17/waaree-ess-commissions-5-15-gwh-bess-container-manufacturing-facility/</t>
  </si>
  <si>
    <t xml:space="preserve">https://renewablewatch.in/2026/02/20/waaree-to-set-up-16-gwh-battery-gigafactory-in-andhra-pradesh/</t>
  </si>
  <si>
    <t xml:space="preserve">Nash Energy</t>
  </si>
  <si>
    <t xml:space="preserve">3, 6</t>
  </si>
  <si>
    <t xml:space="preserve">Prismatic packs, ESS packs 1–500 kWh, Made-in-India LFP cells</t>
  </si>
  <si>
    <t xml:space="preserve">Mercom (Jan 2026)</t>
  </si>
  <si>
    <t xml:space="preserve">https://www.mercomindia.com/nash-energy-commissions-2-gwh-battery-pack-manufacturing-line-in-karnataka</t>
  </si>
  <si>
    <t xml:space="preserve">Premier Energies</t>
  </si>
  <si>
    <t xml:space="preserve">BESS manufacturing JV with RCT India (Germany)</t>
  </si>
  <si>
    <t xml:space="preserve">Renewable Watch (Sep 2026)</t>
  </si>
  <si>
    <t xml:space="preserve">https://renewablewatch.in/2026/09/11/premier-energies-and-rct-india-to-build-12-gwh-bess-facility-in-telangana/</t>
  </si>
  <si>
    <t xml:space="preserve">Loom Solar</t>
  </si>
  <si>
    <t xml:space="preserve">Home to C&amp;I BESS (CAML 125 kW / 261 kWh), modules, inverters; BESS on rent</t>
  </si>
  <si>
    <t xml:space="preserve">pv magazine India (Feb 2026); The Machine Maker</t>
  </si>
  <si>
    <t xml:space="preserve">https://www.pv-magazine-india.com/2026/02/04/loom-solar-launches-125-kw-261-kwh-bess-for-ci-applications/</t>
  </si>
  <si>
    <t xml:space="preserve">https://themachinemaker.com/news/loom-solar-crosses-%e2%82%b91000-crore-annual-turnover/</t>
  </si>
  <si>
    <t xml:space="preserve">UnityESS (Ornate Solar)</t>
  </si>
  <si>
    <t xml:space="preserve">Aura / Aqua / Ultima BESS, LFP</t>
  </si>
  <si>
    <t xml:space="preserve">ornatesolar.com</t>
  </si>
  <si>
    <t xml:space="preserve">https://ornatesolar.com/unity-ess</t>
  </si>
  <si>
    <t xml:space="preserve">Voltra Energy</t>
  </si>
  <si>
    <t xml:space="preserve">Liquid-cooled C&amp;I cabinets (VOLT LINK 261), home to utility BESS</t>
  </si>
  <si>
    <t xml:space="preserve">Saur Energy; Battery Magazine</t>
  </si>
  <si>
    <t xml:space="preserve">https://www.saurenergy.com/solar-energy-news/voltra-energy-targets-residential-ci-storage-market-with-lithium-battery-solutions-11176403</t>
  </si>
  <si>
    <t xml:space="preserve">https://www.thebatterymagazine.com/power-in-modularity-rachit-garg-from-voltra-on-building-smarter-bess-for-indias-growing-grid/</t>
  </si>
  <si>
    <t xml:space="preserve">iPower Batteries</t>
  </si>
  <si>
    <t xml:space="preserve">3</t>
  </si>
  <si>
    <t xml:space="preserve">LFP / LMFP packs, home and C&amp;I ESS</t>
  </si>
  <si>
    <t xml:space="preserve">Mobility Outlook; booth photo (Battery Show 2026)</t>
  </si>
  <si>
    <t xml:space="preserve">https://mobilityoutlook.com/features/how-ipower-batteries-charging-up-for-a-consistent-revenue-growth</t>
  </si>
  <si>
    <t xml:space="preserve">MAS Solar Systems</t>
  </si>
  <si>
    <t xml:space="preserve">6, 7</t>
  </si>
  <si>
    <t xml:space="preserve">–</t>
  </si>
  <si>
    <t xml:space="preserve">massolarsystems.com</t>
  </si>
  <si>
    <t xml:space="preserve">https://www.massolarsystems.com</t>
  </si>
  <si>
    <t xml:space="preserve">PACE Digitek (Lineage Power)</t>
  </si>
  <si>
    <t xml:space="preserve">BESS manufacturing and supply &amp; commissioning</t>
  </si>
  <si>
    <t xml:space="preserve">IEEFA/JMK (Sep 2026)</t>
  </si>
  <si>
    <t xml:space="preserve">Powertrac Group</t>
  </si>
  <si>
    <t xml:space="preserve">BESS manufacturing</t>
  </si>
  <si>
    <t xml:space="preserve">Pratap Group – Voltters Technologies</t>
  </si>
  <si>
    <t xml:space="preserve">Prostarm Info Systems</t>
  </si>
  <si>
    <t xml:space="preserve">BESS and power conditioning equipment</t>
  </si>
  <si>
    <t xml:space="preserve">pv magazine India (Jan 2026)</t>
  </si>
  <si>
    <t xml:space="preserve">https://www.pv-magazine-india.com/2026/01/06/delta-electronics-india-to-supply-110-mw-of-power-conditioning-systems-for-prostarms-battery-storage-projects</t>
  </si>
  <si>
    <t xml:space="preserve">Delta Electronics India</t>
  </si>
  <si>
    <t xml:space="preserve">5</t>
  </si>
  <si>
    <t xml:space="preserve">Made-in-India 1.1 MW bidirectional PCS</t>
  </si>
  <si>
    <t xml:space="preserve">Sineng Electric (India plant)</t>
  </si>
  <si>
    <t xml:space="preserve">Inverters and PCS (Chinese company, Indian factory)</t>
  </si>
  <si>
    <t xml:space="preserve">SolarQuarter (Jan 2026); pv magazine (Jul 2026)</t>
  </si>
  <si>
    <t xml:space="preserve">https://solarquarter.com/2026/01/16/one-of-the-worlds-largest-bess-projects-sineng-electric-delivers-576mw-pcs-for-khavda-energy-park/</t>
  </si>
  <si>
    <t xml:space="preserve">https://www.pv-magazine.com/press-releases/sineng-electric-ranked-no-1-for-utility-scale-solar-projects-commissioned-in-india-in-2025/</t>
  </si>
  <si>
    <t xml:space="preserve">Adaptive Engineering</t>
  </si>
  <si>
    <t xml:space="preserve">4</t>
  </si>
  <si>
    <t xml:space="preserve">PLC, SCADA, EMS architecture</t>
  </si>
  <si>
    <t xml:space="preserve">ESS News (Jul 2026)</t>
  </si>
  <si>
    <t xml:space="preserve">https://www.ess-news.com/2026/07/22/advait-battery-adaptive-engineering-partner-on-bess-manufacturing-platform-in-india/</t>
  </si>
  <si>
    <t xml:space="preserve">Advait Battery Ecosystems</t>
  </si>
  <si>
    <t xml:space="preserve">3, 4, 6</t>
  </si>
  <si>
    <t xml:space="preserve">Cell-to-system BESS platform with Adaptive</t>
  </si>
  <si>
    <t xml:space="preserve">Xbattery</t>
  </si>
  <si>
    <t xml:space="preserve">SolarQuarter (Mar 2025)</t>
  </si>
  <si>
    <t xml:space="preserve">https://solarquarter.com/2025/03/21/powering-indias-green-future-xbattery-launches-bharatbms-a-homegrown-battery-management-system-to-supercharge-clean-energy-transition</t>
  </si>
  <si>
    <t xml:space="preserve">ION Energy</t>
  </si>
  <si>
    <t xml:space="preserve">Autocar Pro</t>
  </si>
  <si>
    <t xml:space="preserve">https://www.autocarpro.in/feature/ion-energy-giving--evs-extra-charge--by-optimising-bms-56953</t>
  </si>
  <si>
    <t xml:space="preserve">Adani Green Energy</t>
  </si>
  <si>
    <t xml:space="preserve">7</t>
  </si>
  <si>
    <t xml:space="preserve">Developer / owner of utility BESS</t>
  </si>
  <si>
    <t xml:space="preserve">SolarQuarter (Jan 2026); Control Global</t>
  </si>
  <si>
    <t xml:space="preserve">https://www.controlglobal.com/industry-news/news/55400222/emerson-automation-solutions-emersons-ovation-green-scada-software-supports-adani-green-energys-battery-energy-storage-system</t>
  </si>
  <si>
    <t xml:space="preserve">Sterling and Wilson Renewable Energy</t>
  </si>
  <si>
    <t xml:space="preserve">BESS EPC</t>
  </si>
  <si>
    <t xml:space="preserve">ESS News</t>
  </si>
  <si>
    <t xml:space="preserve">https://www.ess-news.com/?p=1965</t>
  </si>
  <si>
    <t xml:space="preserve">Tata Power Renewable Energy</t>
  </si>
  <si>
    <t xml:space="preserve">Developer, integration and EPC</t>
  </si>
  <si>
    <t xml:space="preserve">IEEFA/JMK; Servotech list</t>
  </si>
  <si>
    <t xml:space="preserve">https://www.servotech.in/blog/?p=18388</t>
  </si>
  <si>
    <t xml:space="preserve">NTPC REL / NTPC Green, ACME Solar, Juniper Green, Serentica, Hero Solar, NLC India</t>
  </si>
  <si>
    <t xml:space="preserve">Developers winning BESS / FDRE tenders</t>
  </si>
  <si>
    <t xml:space="preserve">JSW Energy</t>
  </si>
  <si>
    <t xml:space="preserve">Developer; ESS supply MoU</t>
  </si>
  <si>
    <t xml:space="preserve">Hitachi Energy India, CG Power, Siemens India, Transformers &amp; Rectifiers, Voltamp</t>
  </si>
  <si>
    <t xml:space="preserve">Transformers, switchgear, grid equipment</t>
  </si>
  <si>
    <t xml:space="preserve">The Machine Maker (Jun 2026)</t>
  </si>
  <si>
    <t xml:space="preserve">https://themachinemaker.com/news/hitachi-energy-invests-inr-2000-crore-in-new-transformer-facility-to-support-indias-expanding-power-grid/</t>
  </si>
  <si>
    <t xml:space="preserve">Sources</t>
  </si>
  <si>
    <t xml:space="preserve">Used for</t>
  </si>
  <si>
    <t xml:space="preserve">Link</t>
  </si>
  <si>
    <t xml:space="preserve">Agratas 20 GWh Sanand plant</t>
  </si>
  <si>
    <t xml:space="preserve">Attero battery recycling capacity</t>
  </si>
  <si>
    <t xml:space="preserve">Hitachi Energy Vadodara transformer plant</t>
  </si>
  <si>
    <t xml:space="preserve">USGS Mineral Commodity Summaries 2026</t>
  </si>
  <si>
    <t xml:space="preserve">Lithium mine production by country</t>
  </si>
  <si>
    <t xml:space="preserve">https://pubs.usgs.gov/periodicals/mcs2026/mcs2026-lithium.pdf</t>
  </si>
  <si>
    <t xml:space="preserve">US EIA – Today in Energy</t>
  </si>
  <si>
    <t xml:space="preserve">China's share of processing and cell capacity</t>
  </si>
  <si>
    <t xml:space="preserve">https://www.eia.gov/todayinEnergy/detail.php?id=65305</t>
  </si>
  <si>
    <t xml:space="preserve">SNE Research via Asia Business Daily (Jun 2026)</t>
  </si>
  <si>
    <t xml:space="preserve">2025 cathode shipments and top suppliers</t>
  </si>
  <si>
    <t xml:space="preserve">https://view.asiae.co.kr/en/article/2026061709405698192</t>
  </si>
  <si>
    <t xml:space="preserve">SMM (2025)</t>
  </si>
  <si>
    <t xml:space="preserve">Separator ranking, SEMCORP shipments</t>
  </si>
  <si>
    <t xml:space="preserve">https://news.metal.com/newscontent/103315512-performance-insights-of-top-10-lithium-battery-separator-companies-in-2024-third-place-or-5-billion-changes-hands-to-pub</t>
  </si>
  <si>
    <t xml:space="preserve">Swarajya (2026)</t>
  </si>
  <si>
    <t xml:space="preserve">Indian battery-materials players, imports, incentive scheme</t>
  </si>
  <si>
    <t xml:space="preserve">Exide 6 GWh; Amara Raja timeline</t>
  </si>
  <si>
    <t xml:space="preserve">Zetwerk (2026)</t>
  </si>
  <si>
    <t xml:space="preserve">Indian cell makers, ACC PLI</t>
  </si>
  <si>
    <t xml:space="preserve">InfoLink via ESS News (Feb 2026)</t>
  </si>
  <si>
    <t xml:space="preserve">2025 ESS cell shipments, top-10 share, cell sizes</t>
  </si>
  <si>
    <t xml:space="preserve">https://www.ess-news.com/2026/02/09/infolink-2025-energy-storage-cell-shipments-jump-95-to-612-gwh-as-market-flips-from-glut-to-tightness/</t>
  </si>
  <si>
    <t xml:space="preserve">Energy-Storage.News / Benchmark (2026)</t>
  </si>
  <si>
    <t xml:space="preserve">2025 cell and BESS shares</t>
  </si>
  <si>
    <t xml:space="preserve">https://www.energy-storage.news/2025-bess-cell-and-system-shipments-byd-takes-bess-crown-no-korean-firms-in-top-10-cell-suppliers/</t>
  </si>
  <si>
    <t xml:space="preserve">EnergyTrend (May 2026)</t>
  </si>
  <si>
    <t xml:space="preserve">Top-10 BESS integrators 2025</t>
  </si>
  <si>
    <t xml:space="preserve">https://www.energytrend.com/news/20260519-51424.html</t>
  </si>
  <si>
    <t xml:space="preserve">Wood Mackenzie (Jun 2026)</t>
  </si>
  <si>
    <t xml:space="preserve">Chinese integrators 76% share</t>
  </si>
  <si>
    <t xml:space="preserve">https://www.woodmac.com/press-releases/2026-bess-market-share-chinese-integrators-76-percent-global-dominance-2025/</t>
  </si>
  <si>
    <t xml:space="preserve">Solarplaza (2026)</t>
  </si>
  <si>
    <t xml:space="preserve">CNESA PCS ranking; PCS market size</t>
  </si>
  <si>
    <t xml:space="preserve">https://www.solarplaza.com/resource/13532/article-mapping-the-chinese-bess-supply-chain-2026/</t>
  </si>
  <si>
    <t xml:space="preserve">Global Market Insights</t>
  </si>
  <si>
    <t xml:space="preserve">BESS container &amp; enclosure shares</t>
  </si>
  <si>
    <t xml:space="preserve">https://www.gminsights.com/industry-analysis/bess-container-and-enclosure-market</t>
  </si>
  <si>
    <t xml:space="preserve">Sina Finance (Gaote)</t>
  </si>
  <si>
    <t xml:space="preserve">ESS BMS share</t>
  </si>
  <si>
    <t xml:space="preserve">https://cj.sina.com.cn/articles/view/7345208878/1b5cefe2e001019gsy</t>
  </si>
  <si>
    <t xml:space="preserve">IEEFA / JMK Research (Sep 2026)</t>
  </si>
  <si>
    <t xml:space="preserve">India BESS pipeline, tenders, manufacturing, cell prices</t>
  </si>
  <si>
    <t xml:space="preserve">Delta India PCS; Prostarm</t>
  </si>
  <si>
    <t xml:space="preserve">Advait + Adaptive Engineering</t>
  </si>
  <si>
    <t xml:space="preserve">Control Global</t>
  </si>
  <si>
    <t xml:space="preserve">Emerson Ovation on Adani Khavda BESS</t>
  </si>
  <si>
    <t xml:space="preserve">SolarQuarter (Jan 2026)</t>
  </si>
  <si>
    <t xml:space="preserve">Sineng 576 MW PCS for Khavda</t>
  </si>
  <si>
    <t xml:space="preserve">Sterling and Wilson 500 MW / 1 GWh EPC</t>
  </si>
  <si>
    <t xml:space="preserve">Xbattery BharatBMS</t>
  </si>
  <si>
    <t xml:space="preserve">Renewable Watch (2026)</t>
  </si>
  <si>
    <t xml:space="preserve">Waaree ESS, Premier–RCT</t>
  </si>
  <si>
    <t xml:space="preserve">Mercom India (Jan 2026)</t>
  </si>
  <si>
    <t xml:space="preserve">Nash Energy 2 GWh line</t>
  </si>
  <si>
    <t xml:space="preserve">The Machine Maker (2026)</t>
  </si>
  <si>
    <t xml:space="preserve">208 GWh storage need by 2030</t>
  </si>
  <si>
    <t xml:space="preserve">Battery Show India 2026 visit</t>
  </si>
  <si>
    <t xml:space="preserve">Booth observations and pamphlets</t>
  </si>
  <si>
    <t xml:space="preserve">Own photos and catalogues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</si>
</sst>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%"/>
    <numFmt numFmtId="166" formatCode="#,##0"/>
    <numFmt numFmtId="167" formatCode="0%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name val="Arial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u val="single"/>
      <sz val="10"/>
      <color rgb="FF0563C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6FB"/>
        <bgColor rgb="FFF9F9F9"/>
      </patternFill>
    </fill>
    <fill>
      <patternFill patternType="solid">
        <fgColor rgb="FFDEEAF6"/>
        <bgColor rgb="FFF2F6F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3E0"/>
      </left>
      <right style="thin">
        <color rgb="FFC9D3E0"/>
      </right>
      <top style="thin">
        <color rgb="FFC9D3E0"/>
      </top>
      <bottom style="thin">
        <color rgb="FFC9D3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993366"/>
      <rgbColor rgb="FFF9F9F9"/>
      <rgbColor rgb="FFDEEAF6"/>
      <rgbColor rgb="FF660066"/>
      <rgbColor rgb="FFFF8080"/>
      <rgbColor rgb="FF0563C1"/>
      <rgbColor rgb="FFC9D3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6FB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ESS cell suppliers – share of 2025 shipments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'Market Shares'!B6</c:f>
              <c:strCache>
                <c:ptCount val="1"/>
                <c:pt idx="0">
                  <c:v>Share</c:v>
                </c:pt>
              </c:strCache>
            </c:strRef>
          </c:tx>
          <c:spPr>
            <a:solidFill>
              <a:srgbClr val="1f3864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numFmt formatCode="0%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'Market Shares'!$A$7:$A$11</c:f>
              <c:strCache>
                <c:ptCount val="5"/>
                <c:pt idx="0">
                  <c:v>CATL</c:v>
                </c:pt>
                <c:pt idx="1">
                  <c:v>Hithium</c:v>
                </c:pt>
                <c:pt idx="2">
                  <c:v>EVE Energy</c:v>
                </c:pt>
                <c:pt idx="3">
                  <c:v>BYD</c:v>
                </c:pt>
                <c:pt idx="4">
                  <c:v>Others</c:v>
                </c:pt>
              </c:strCache>
            </c:strRef>
          </c:cat>
          <c:val>
            <c:numRef>
              <c:f>'Market Shares'!$B$7:$B$11</c:f>
              <c:numCache>
                <c:formatCode>0.0%</c:formatCode>
                <c:ptCount val="5"/>
                <c:pt idx="0">
                  <c:v>0.2</c:v>
                </c:pt>
                <c:pt idx="1">
                  <c:v>0.12</c:v>
                </c:pt>
                <c:pt idx="2">
                  <c:v>0.12</c:v>
                </c:pt>
                <c:pt idx="3">
                  <c:v>0.1</c:v>
                </c:pt>
                <c:pt idx="4">
                  <c:v>0.46</c:v>
                </c:pt>
              </c:numCache>
            </c:numRef>
          </c:val>
        </c:ser>
        <c:gapWidth val="150"/>
        <c:overlap val="0"/>
        <c:axId val="76583934"/>
        <c:axId val="64425650"/>
      </c:barChart>
      <c:catAx>
        <c:axId val="7658393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425650"/>
        <c:crosses val="autoZero"/>
        <c:auto val="1"/>
        <c:lblAlgn val="ctr"/>
        <c:lblOffset val="100"/>
        <c:noMultiLvlLbl val="0"/>
      </c:catAx>
      <c:valAx>
        <c:axId val="64425650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Share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58393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BESS integrators – share of 2025 shipments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'Market Shares'!B24</c:f>
              <c:strCache>
                <c:ptCount val="1"/>
                <c:pt idx="0">
                  <c:v>Share</c:v>
                </c:pt>
              </c:strCache>
            </c:strRef>
          </c:tx>
          <c:spPr>
            <a:solidFill>
              <a:srgbClr val="1f3864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numFmt formatCode="0%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'Market Shares'!$A$25:$A$35</c:f>
              <c:strCache>
                <c:ptCount val="11"/>
                <c:pt idx="0">
                  <c:v>BYD</c:v>
                </c:pt>
                <c:pt idx="1">
                  <c:v>Tesla</c:v>
                </c:pt>
                <c:pt idx="2">
                  <c:v>Sungrow</c:v>
                </c:pt>
                <c:pt idx="3">
                  <c:v>CRRC Zhuzhou</c:v>
                </c:pt>
                <c:pt idx="4">
                  <c:v>CATL</c:v>
                </c:pt>
                <c:pt idx="5">
                  <c:v>Hithium</c:v>
                </c:pt>
                <c:pt idx="6">
                  <c:v>Huawei</c:v>
                </c:pt>
                <c:pt idx="7">
                  <c:v>Envision</c:v>
                </c:pt>
                <c:pt idx="8">
                  <c:v>Sunwoda</c:v>
                </c:pt>
                <c:pt idx="9">
                  <c:v>Fluence</c:v>
                </c:pt>
                <c:pt idx="10">
                  <c:v>Others</c:v>
                </c:pt>
              </c:strCache>
            </c:strRef>
          </c:cat>
          <c:val>
            <c:numRef>
              <c:f>'Market Shares'!$B$25:$B$35</c:f>
              <c:numCache>
                <c:formatCode>0.0%</c:formatCode>
                <c:ptCount val="11"/>
                <c:pt idx="0">
                  <c:v>0.13</c:v>
                </c:pt>
                <c:pt idx="1">
                  <c:v>0.1</c:v>
                </c:pt>
                <c:pt idx="2">
                  <c:v>0.09</c:v>
                </c:pt>
                <c:pt idx="3">
                  <c:v>0.06</c:v>
                </c:pt>
                <c:pt idx="4">
                  <c:v>0.06</c:v>
                </c:pt>
                <c:pt idx="5">
                  <c:v>0.06</c:v>
                </c:pt>
                <c:pt idx="6">
                  <c:v>0.05</c:v>
                </c:pt>
                <c:pt idx="7">
                  <c:v>0.05</c:v>
                </c:pt>
                <c:pt idx="8">
                  <c:v>0.04</c:v>
                </c:pt>
                <c:pt idx="9">
                  <c:v>0.04</c:v>
                </c:pt>
                <c:pt idx="10">
                  <c:v>0.32</c:v>
                </c:pt>
              </c:numCache>
            </c:numRef>
          </c:val>
        </c:ser>
        <c:gapWidth val="150"/>
        <c:overlap val="0"/>
        <c:axId val="25794498"/>
        <c:axId val="70357634"/>
      </c:barChart>
      <c:catAx>
        <c:axId val="2579449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357634"/>
        <c:crosses val="autoZero"/>
        <c:auto val="1"/>
        <c:lblAlgn val="ctr"/>
        <c:lblOffset val="100"/>
        <c:noMultiLvlLbl val="0"/>
      </c:catAx>
      <c:valAx>
        <c:axId val="70357634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Share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79449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BESS containers &amp; enclosures – 2025 share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'Market Shares'!B44</c:f>
              <c:strCache>
                <c:ptCount val="1"/>
                <c:pt idx="0">
                  <c:v>Share</c:v>
                </c:pt>
              </c:strCache>
            </c:strRef>
          </c:tx>
          <c:spPr>
            <a:solidFill>
              <a:srgbClr val="1f3864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numFmt formatCode="0%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'Market Shares'!$A$45:$A$47</c:f>
              <c:strCache>
                <c:ptCount val="3"/>
                <c:pt idx="0">
                  <c:v>CATL</c:v>
                </c:pt>
                <c:pt idx="1">
                  <c:v>Tesla + Sungrow + Fluence + BYD (combined)</c:v>
                </c:pt>
                <c:pt idx="2">
                  <c:v>Others</c:v>
                </c:pt>
              </c:strCache>
            </c:strRef>
          </c:cat>
          <c:val>
            <c:numRef>
              <c:f>'Market Shares'!$B$45:$B$47</c:f>
              <c:numCache>
                <c:formatCode>0.0%</c:formatCode>
                <c:ptCount val="3"/>
                <c:pt idx="0">
                  <c:v>0.135</c:v>
                </c:pt>
                <c:pt idx="1">
                  <c:v>0.34</c:v>
                </c:pt>
                <c:pt idx="2">
                  <c:v>0.525</c:v>
                </c:pt>
              </c:numCache>
            </c:numRef>
          </c:val>
        </c:ser>
        <c:gapWidth val="150"/>
        <c:overlap val="0"/>
        <c:axId val="91580060"/>
        <c:axId val="30142579"/>
      </c:barChart>
      <c:catAx>
        <c:axId val="915800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0142579"/>
        <c:crosses val="autoZero"/>
        <c:auto val="1"/>
        <c:lblAlgn val="ctr"/>
        <c:lblOffset val="100"/>
        <c:noMultiLvlLbl val="0"/>
      </c:catAx>
      <c:valAx>
        <c:axId val="30142579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Share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58006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Lithium mine production – 2025 share by country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'Market Shares'!B82</c:f>
              <c:strCache>
                <c:ptCount val="1"/>
                <c:pt idx="0">
                  <c:v>Share</c:v>
                </c:pt>
              </c:strCache>
            </c:strRef>
          </c:tx>
          <c:spPr>
            <a:solidFill>
              <a:srgbClr val="1f3864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numFmt formatCode="0%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'Market Shares'!$A$83:$A$91</c:f>
              <c:strCache>
                <c:ptCount val="9"/>
                <c:pt idx="0">
                  <c:v>Australia</c:v>
                </c:pt>
                <c:pt idx="1">
                  <c:v>China</c:v>
                </c:pt>
                <c:pt idx="2">
                  <c:v>Chile</c:v>
                </c:pt>
                <c:pt idx="3">
                  <c:v>Zimbabwe</c:v>
                </c:pt>
                <c:pt idx="4">
                  <c:v>Argentina</c:v>
                </c:pt>
                <c:pt idx="5">
                  <c:v>Brazil</c:v>
                </c:pt>
                <c:pt idx="6">
                  <c:v>Mali</c:v>
                </c:pt>
                <c:pt idx="7">
                  <c:v>Canada</c:v>
                </c:pt>
                <c:pt idx="8">
                  <c:v>Others</c:v>
                </c:pt>
              </c:strCache>
            </c:strRef>
          </c:cat>
          <c:val>
            <c:numRef>
              <c:f>'Market Shares'!$B$83:$B$91</c:f>
              <c:numCache>
                <c:formatCode>0.0%</c:formatCode>
                <c:ptCount val="9"/>
                <c:pt idx="0">
                  <c:v>0.317241379310345</c:v>
                </c:pt>
                <c:pt idx="1">
                  <c:v>0.213793103448276</c:v>
                </c:pt>
                <c:pt idx="2">
                  <c:v>0.193103448275862</c:v>
                </c:pt>
                <c:pt idx="3">
                  <c:v>0.096551724137931</c:v>
                </c:pt>
                <c:pt idx="4">
                  <c:v>0.0793103448275862</c:v>
                </c:pt>
                <c:pt idx="5">
                  <c:v>0.0413793103448276</c:v>
                </c:pt>
                <c:pt idx="6">
                  <c:v>0.0324137931034483</c:v>
                </c:pt>
                <c:pt idx="7">
                  <c:v>0.0193103448275862</c:v>
                </c:pt>
                <c:pt idx="8">
                  <c:v>0.00689655172413793</c:v>
                </c:pt>
              </c:numCache>
            </c:numRef>
          </c:val>
        </c:ser>
        <c:gapWidth val="150"/>
        <c:overlap val="0"/>
        <c:axId val="91885788"/>
        <c:axId val="86760486"/>
      </c:barChart>
      <c:catAx>
        <c:axId val="918857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760486"/>
        <c:crosses val="autoZero"/>
        <c:auto val="1"/>
        <c:lblAlgn val="ctr"/>
        <c:lblOffset val="100"/>
        <c:noMultiLvlLbl val="0"/>
      </c:catAx>
      <c:valAx>
        <c:axId val="86760486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Share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88578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China's share by supply-chain step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'Market Shares'!B100</c:f>
              <c:strCache>
                <c:ptCount val="1"/>
                <c:pt idx="0">
                  <c:v>China share</c:v>
                </c:pt>
              </c:strCache>
            </c:strRef>
          </c:tx>
          <c:spPr>
            <a:solidFill>
              <a:srgbClr val="1f3864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numFmt formatCode="0%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'Market Shares'!$A$101:$A$106</c:f>
              <c:strCache>
                <c:ptCount val="6"/>
                <c:pt idx="0">
                  <c:v>Graphite processing</c:v>
                </c:pt>
                <c:pt idx="1">
                  <c:v>Anodes (2022)</c:v>
                </c:pt>
                <c:pt idx="2">
                  <c:v>Electrolytes (2022)</c:v>
                </c:pt>
                <c:pt idx="3">
                  <c:v>Separators (2022)</c:v>
                </c:pt>
                <c:pt idx="4">
                  <c:v>Cathodes (2022)</c:v>
                </c:pt>
                <c:pt idx="5">
                  <c:v>Cell production capacity (2023)</c:v>
                </c:pt>
              </c:strCache>
            </c:strRef>
          </c:cat>
          <c:val>
            <c:numRef>
              <c:f>'Market Shares'!$B$101:$B$106</c:f>
              <c:numCache>
                <c:formatCode>0%</c:formatCode>
                <c:ptCount val="6"/>
                <c:pt idx="0">
                  <c:v>0.9</c:v>
                </c:pt>
                <c:pt idx="1">
                  <c:v>0.85</c:v>
                </c:pt>
                <c:pt idx="2">
                  <c:v>0.82</c:v>
                </c:pt>
                <c:pt idx="3">
                  <c:v>0.74</c:v>
                </c:pt>
                <c:pt idx="4">
                  <c:v>0.7</c:v>
                </c:pt>
                <c:pt idx="5">
                  <c:v>0.85</c:v>
                </c:pt>
              </c:numCache>
            </c:numRef>
          </c:val>
        </c:ser>
        <c:gapWidth val="150"/>
        <c:overlap val="0"/>
        <c:axId val="3392470"/>
        <c:axId val="56659893"/>
      </c:barChart>
      <c:catAx>
        <c:axId val="339247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659893"/>
        <c:crosses val="autoZero"/>
        <c:auto val="1"/>
        <c:lblAlgn val="ctr"/>
        <c:lblOffset val="100"/>
        <c:noMultiLvlLbl val="0"/>
      </c:catAx>
      <c:valAx>
        <c:axId val="56659893"/>
        <c:scaling>
          <c:orientation val="minMax"/>
          <c:max val="1"/>
          <c:min val="0"/>
        </c:scaling>
        <c:delete val="0"/>
        <c:axPos val="l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9247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Cathode suppliers – share of 2025 shipments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'Market Shares'!B118</c:f>
              <c:strCache>
                <c:ptCount val="1"/>
                <c:pt idx="0">
                  <c:v>Share</c:v>
                </c:pt>
              </c:strCache>
            </c:strRef>
          </c:tx>
          <c:spPr>
            <a:solidFill>
              <a:srgbClr val="1f3864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numFmt formatCode="0%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'Market Shares'!$A$119:$A$124</c:f>
              <c:strCache>
                <c:ptCount val="6"/>
                <c:pt idx="0">
                  <c:v>Hunan Yuneng</c:v>
                </c:pt>
                <c:pt idx="1">
                  <c:v>Hubei Wanrun</c:v>
                </c:pt>
                <c:pt idx="2">
                  <c:v>Dynanonic</c:v>
                </c:pt>
                <c:pt idx="3">
                  <c:v>Youshan (Huayou)</c:v>
                </c:pt>
                <c:pt idx="4">
                  <c:v>Lopal</c:v>
                </c:pt>
                <c:pt idx="5">
                  <c:v>Gotion</c:v>
                </c:pt>
              </c:strCache>
            </c:strRef>
          </c:cat>
          <c:val>
            <c:numRef>
              <c:f>'Market Shares'!$B$119:$B$124</c:f>
              <c:numCache>
                <c:formatCode>0.0%</c:formatCode>
                <c:ptCount val="6"/>
                <c:pt idx="0">
                  <c:v>0.22969696969697</c:v>
                </c:pt>
                <c:pt idx="1">
                  <c:v>0.0757575757575758</c:v>
                </c:pt>
                <c:pt idx="2">
                  <c:v>0.0565656565656566</c:v>
                </c:pt>
                <c:pt idx="3">
                  <c:v>0.0434343434343434</c:v>
                </c:pt>
                <c:pt idx="4">
                  <c:v>0.0409090909090909</c:v>
                </c:pt>
                <c:pt idx="5">
                  <c:v>0.0404040404040404</c:v>
                </c:pt>
              </c:numCache>
            </c:numRef>
          </c:val>
        </c:ser>
        <c:gapWidth val="150"/>
        <c:overlap val="0"/>
        <c:axId val="58182102"/>
        <c:axId val="52090615"/>
      </c:barChart>
      <c:catAx>
        <c:axId val="5818210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090615"/>
        <c:crosses val="autoZero"/>
        <c:auto val="1"/>
        <c:lblAlgn val="ctr"/>
        <c:lblOffset val="100"/>
        <c:noMultiLvlLbl val="0"/>
      </c:catAx>
      <c:valAx>
        <c:axId val="52090615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Share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18210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2</xdr:row>
      <xdr:rowOff>160920</xdr:rowOff>
    </xdr:from>
    <xdr:to>
      <xdr:col>13</xdr:col>
      <xdr:colOff>255960</xdr:colOff>
      <xdr:row>17</xdr:row>
      <xdr:rowOff>2880</xdr:rowOff>
    </xdr:to>
    <xdr:graphicFrame>
      <xdr:nvGraphicFramePr>
        <xdr:cNvPr id="0" name="Chart 1"/>
        <xdr:cNvGraphicFramePr/>
      </xdr:nvGraphicFramePr>
      <xdr:xfrm>
        <a:off x="8928720" y="57168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20</xdr:row>
      <xdr:rowOff>160920</xdr:rowOff>
    </xdr:from>
    <xdr:to>
      <xdr:col>13</xdr:col>
      <xdr:colOff>255960</xdr:colOff>
      <xdr:row>35</xdr:row>
      <xdr:rowOff>2880</xdr:rowOff>
    </xdr:to>
    <xdr:graphicFrame>
      <xdr:nvGraphicFramePr>
        <xdr:cNvPr id="1" name="Chart 2"/>
        <xdr:cNvGraphicFramePr/>
      </xdr:nvGraphicFramePr>
      <xdr:xfrm>
        <a:off x="8928720" y="400068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4</xdr:col>
      <xdr:colOff>0</xdr:colOff>
      <xdr:row>40</xdr:row>
      <xdr:rowOff>160560</xdr:rowOff>
    </xdr:from>
    <xdr:to>
      <xdr:col>13</xdr:col>
      <xdr:colOff>255960</xdr:colOff>
      <xdr:row>55</xdr:row>
      <xdr:rowOff>2880</xdr:rowOff>
    </xdr:to>
    <xdr:graphicFrame>
      <xdr:nvGraphicFramePr>
        <xdr:cNvPr id="2" name="Chart 3"/>
        <xdr:cNvGraphicFramePr/>
      </xdr:nvGraphicFramePr>
      <xdr:xfrm>
        <a:off x="8928720" y="781056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4</xdr:col>
      <xdr:colOff>0</xdr:colOff>
      <xdr:row>78</xdr:row>
      <xdr:rowOff>160560</xdr:rowOff>
    </xdr:from>
    <xdr:to>
      <xdr:col>13</xdr:col>
      <xdr:colOff>255960</xdr:colOff>
      <xdr:row>93</xdr:row>
      <xdr:rowOff>2880</xdr:rowOff>
    </xdr:to>
    <xdr:graphicFrame>
      <xdr:nvGraphicFramePr>
        <xdr:cNvPr id="3" name="Chart 4"/>
        <xdr:cNvGraphicFramePr/>
      </xdr:nvGraphicFramePr>
      <xdr:xfrm>
        <a:off x="8928720" y="1504944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4</xdr:col>
      <xdr:colOff>0</xdr:colOff>
      <xdr:row>96</xdr:row>
      <xdr:rowOff>160560</xdr:rowOff>
    </xdr:from>
    <xdr:to>
      <xdr:col>13</xdr:col>
      <xdr:colOff>255960</xdr:colOff>
      <xdr:row>111</xdr:row>
      <xdr:rowOff>2880</xdr:rowOff>
    </xdr:to>
    <xdr:graphicFrame>
      <xdr:nvGraphicFramePr>
        <xdr:cNvPr id="4" name="Chart 5"/>
        <xdr:cNvGraphicFramePr/>
      </xdr:nvGraphicFramePr>
      <xdr:xfrm>
        <a:off x="8928720" y="1847844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4</xdr:col>
      <xdr:colOff>0</xdr:colOff>
      <xdr:row>114</xdr:row>
      <xdr:rowOff>160560</xdr:rowOff>
    </xdr:from>
    <xdr:to>
      <xdr:col>13</xdr:col>
      <xdr:colOff>255960</xdr:colOff>
      <xdr:row>129</xdr:row>
      <xdr:rowOff>2880</xdr:rowOff>
    </xdr:to>
    <xdr:graphicFrame>
      <xdr:nvGraphicFramePr>
        <xdr:cNvPr id="5" name="Chart 6"/>
        <xdr:cNvGraphicFramePr/>
      </xdr:nvGraphicFramePr>
      <xdr:xfrm>
        <a:off x="8928720" y="2190744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swarajyamag.com/technology/cathode-anode-separator-foil-electrolyte-can-government-incentives-help-india-crack-the-battery-code" TargetMode="External"/><Relationship Id="rId2" Type="http://schemas.openxmlformats.org/officeDocument/2006/relationships/hyperlink" Target="https://source.benchmarkminerals.com/article/site-visit-altmin-and-sudeep-advanced-material-support-indias-midstream-ambitions" TargetMode="External"/><Relationship Id="rId3" Type="http://schemas.openxmlformats.org/officeDocument/2006/relationships/hyperlink" Target="https://swarajyamag.com/technology/cathode-anode-separator-foil-electrolyte-can-government-incentives-help-india-crack-the-battery-code" TargetMode="External"/><Relationship Id="rId4" Type="http://schemas.openxmlformats.org/officeDocument/2006/relationships/hyperlink" Target="https://www.autocarpro.in/news/himadri-maps-fy27-growth-push-with-battery-materials-birla-tyres-and-speciality-chemicals-132474" TargetMode="External"/><Relationship Id="rId5" Type="http://schemas.openxmlformats.org/officeDocument/2006/relationships/hyperlink" Target="https://swarajyamag.com/technology/cathode-anode-separator-foil-electrolyte-can-government-incentives-help-india-crack-the-battery-code" TargetMode="External"/><Relationship Id="rId6" Type="http://schemas.openxmlformats.org/officeDocument/2006/relationships/hyperlink" Target="https://swarajyamag.com/technology/cathode-anode-separator-foil-electrolyte-can-government-incentives-help-india-crack-the-battery-code" TargetMode="External"/><Relationship Id="rId7" Type="http://schemas.openxmlformats.org/officeDocument/2006/relationships/hyperlink" Target="https://swarajyamag.com/technology/cathode-anode-separator-foil-electrolyte-can-government-incentives-help-india-crack-the-battery-code" TargetMode="External"/><Relationship Id="rId8" Type="http://schemas.openxmlformats.org/officeDocument/2006/relationships/hyperlink" Target="https://themachinemaker.com/news/rei-expo-2026-and-the-battery-show-india-bring-1400-brands-to-greater-noida/" TargetMode="External"/><Relationship Id="rId9" Type="http://schemas.openxmlformats.org/officeDocument/2006/relationships/hyperlink" Target="https://swarajyamag.com/technology/cathode-anode-separator-foil-electrolyte-can-government-incentives-help-india-crack-the-battery-code" TargetMode="External"/><Relationship Id="rId10" Type="http://schemas.openxmlformats.org/officeDocument/2006/relationships/hyperlink" Target="https://swarajyamag.com/technology/cathode-anode-separator-foil-electrolyte-can-government-incentives-help-india-crack-the-battery-code" TargetMode="External"/><Relationship Id="rId11" Type="http://schemas.openxmlformats.org/officeDocument/2006/relationships/hyperlink" Target="https://swarajyamag.com/technology/cathode-anode-separator-foil-electrolyte-can-government-incentives-help-india-crack-the-battery-code" TargetMode="External"/><Relationship Id="rId12" Type="http://schemas.openxmlformats.org/officeDocument/2006/relationships/hyperlink" Target="https://www.outlookbusiness.com/news/attero-plans-to-invest-over-rs-8000-crore-in-5-years-to-ramp-up-e-waste-battery-recycling-capacity" TargetMode="External"/><Relationship Id="rId13" Type="http://schemas.openxmlformats.org/officeDocument/2006/relationships/hyperlink" Target="https://www.zetwerk.com/blog/manufacturing-technology/ev-manufacturing-india-2026/" TargetMode="External"/><Relationship Id="rId14" Type="http://schemas.openxmlformats.org/officeDocument/2006/relationships/hyperlink" Target="https://ieefa.org/sites/default/files/2026-09/ESSjmk-0926.pdf" TargetMode="External"/><Relationship Id="rId15" Type="http://schemas.openxmlformats.org/officeDocument/2006/relationships/hyperlink" Target="https://themachinemaker.com/news/exide-industries-to-launch-li-ion-cell-manufacturing-with-6gwh-capacity-by-fy26-end/" TargetMode="External"/><Relationship Id="rId16" Type="http://schemas.openxmlformats.org/officeDocument/2006/relationships/hyperlink" Target="https://themachinemaker.com/news/amara-raja-postpones-launch-of-lithium-ion-cell-plant-to-fy27/" TargetMode="External"/><Relationship Id="rId17" Type="http://schemas.openxmlformats.org/officeDocument/2006/relationships/hyperlink" Target="https://www.zetwerk.com/blog/manufacturing-technology/ev-manufacturing-india-2026/" TargetMode="External"/><Relationship Id="rId18" Type="http://schemas.openxmlformats.org/officeDocument/2006/relationships/hyperlink" Target="https://www.pv-magazine-india.com/2026/04/02/agratas-advances-20-gwh-sanand-battery-facility" TargetMode="External"/><Relationship Id="rId19" Type="http://schemas.openxmlformats.org/officeDocument/2006/relationships/hyperlink" Target="https://renewablewatch.in/2026/07/17/waaree-ess-commissions-5-15-gwh-bess-container-manufacturing-facility/" TargetMode="External"/><Relationship Id="rId20" Type="http://schemas.openxmlformats.org/officeDocument/2006/relationships/hyperlink" Target="https://renewablewatch.in/2026/02/20/waaree-to-set-up-16-gwh-battery-gigafactory-in-andhra-pradesh/" TargetMode="External"/><Relationship Id="rId21" Type="http://schemas.openxmlformats.org/officeDocument/2006/relationships/hyperlink" Target="https://www.mercomindia.com/nash-energy-commissions-2-gwh-battery-pack-manufacturing-line-in-karnataka" TargetMode="External"/><Relationship Id="rId22" Type="http://schemas.openxmlformats.org/officeDocument/2006/relationships/hyperlink" Target="https://renewablewatch.in/2026/09/11/premier-energies-and-rct-india-to-build-12-gwh-bess-facility-in-telangana/" TargetMode="External"/><Relationship Id="rId23" Type="http://schemas.openxmlformats.org/officeDocument/2006/relationships/hyperlink" Target="https://www.pv-magazine-india.com/2026/02/04/loom-solar-launches-125-kw-261-kwh-bess-for-ci-applications/" TargetMode="External"/><Relationship Id="rId24" Type="http://schemas.openxmlformats.org/officeDocument/2006/relationships/hyperlink" Target="https://themachinemaker.com/news/loom-solar-crosses-&#8377;1000-crore-annual-turnover/" TargetMode="External"/><Relationship Id="rId25" Type="http://schemas.openxmlformats.org/officeDocument/2006/relationships/hyperlink" Target="https://ornatesolar.com/unity-ess" TargetMode="External"/><Relationship Id="rId26" Type="http://schemas.openxmlformats.org/officeDocument/2006/relationships/hyperlink" Target="https://www.saurenergy.com/solar-energy-news/voltra-energy-targets-residential-ci-storage-market-with-lithium-battery-solutions-11176403" TargetMode="External"/><Relationship Id="rId27" Type="http://schemas.openxmlformats.org/officeDocument/2006/relationships/hyperlink" Target="https://www.thebatterymagazine.com/power-in-modularity-rachit-garg-from-voltra-on-building-smarter-bess-for-indias-growing-grid/" TargetMode="External"/><Relationship Id="rId28" Type="http://schemas.openxmlformats.org/officeDocument/2006/relationships/hyperlink" Target="https://mobilityoutlook.com/features/how-ipower-batteries-charging-up-for-a-consistent-revenue-growth" TargetMode="External"/><Relationship Id="rId29" Type="http://schemas.openxmlformats.org/officeDocument/2006/relationships/hyperlink" Target="https://www.massolarsystems.com/" TargetMode="External"/><Relationship Id="rId30" Type="http://schemas.openxmlformats.org/officeDocument/2006/relationships/hyperlink" Target="https://ieefa.org/sites/default/files/2026-09/ESSjmk-0926.pdf" TargetMode="External"/><Relationship Id="rId31" Type="http://schemas.openxmlformats.org/officeDocument/2006/relationships/hyperlink" Target="https://ieefa.org/sites/default/files/2026-09/ESSjmk-0926.pdf" TargetMode="External"/><Relationship Id="rId32" Type="http://schemas.openxmlformats.org/officeDocument/2006/relationships/hyperlink" Target="https://ieefa.org/sites/default/files/2026-09/ESSjmk-0926.pdf" TargetMode="External"/><Relationship Id="rId33" Type="http://schemas.openxmlformats.org/officeDocument/2006/relationships/hyperlink" Target="https://www.pv-magazine-india.com/2026/01/06/delta-electronics-india-to-supply-110-mw-of-power-conditioning-systems-for-prostarms-battery-storage-projects" TargetMode="External"/><Relationship Id="rId34" Type="http://schemas.openxmlformats.org/officeDocument/2006/relationships/hyperlink" Target="https://www.pv-magazine-india.com/2026/01/06/delta-electronics-india-to-supply-110-mw-of-power-conditioning-systems-for-prostarms-battery-storage-projects" TargetMode="External"/><Relationship Id="rId35" Type="http://schemas.openxmlformats.org/officeDocument/2006/relationships/hyperlink" Target="https://solarquarter.com/2026/01/16/one-of-the-worlds-largest-bess-projects-sineng-electric-delivers-576mw-pcs-for-khavda-energy-park/" TargetMode="External"/><Relationship Id="rId36" Type="http://schemas.openxmlformats.org/officeDocument/2006/relationships/hyperlink" Target="https://www.pv-magazine.com/press-releases/sineng-electric-ranked-no-1-for-utility-scale-solar-projects-commissioned-in-india-in-2025/" TargetMode="External"/><Relationship Id="rId37" Type="http://schemas.openxmlformats.org/officeDocument/2006/relationships/hyperlink" Target="https://www.ess-news.com/2026/07/22/advait-battery-adaptive-engineering-partner-on-bess-manufacturing-platform-in-india/" TargetMode="External"/><Relationship Id="rId38" Type="http://schemas.openxmlformats.org/officeDocument/2006/relationships/hyperlink" Target="https://www.ess-news.com/2026/07/22/advait-battery-adaptive-engineering-partner-on-bess-manufacturing-platform-in-india/" TargetMode="External"/><Relationship Id="rId39" Type="http://schemas.openxmlformats.org/officeDocument/2006/relationships/hyperlink" Target="https://solarquarter.com/2025/03/21/powering-indias-green-future-xbattery-launches-bharatbms-a-homegrown-battery-management-system-to-supercharge-clean-energy-transition" TargetMode="External"/><Relationship Id="rId40" Type="http://schemas.openxmlformats.org/officeDocument/2006/relationships/hyperlink" Target="https://www.autocarpro.in/feature/ion-energy-giving--evs-extra-charge--by-optimising-bms-56953" TargetMode="External"/><Relationship Id="rId41" Type="http://schemas.openxmlformats.org/officeDocument/2006/relationships/hyperlink" Target="https://solarquarter.com/2026/01/16/one-of-the-worlds-largest-bess-projects-sineng-electric-delivers-576mw-pcs-for-khavda-energy-park/" TargetMode="External"/><Relationship Id="rId42" Type="http://schemas.openxmlformats.org/officeDocument/2006/relationships/hyperlink" Target="https://www.controlglobal.com/industry-news/news/55400222/emerson-automation-solutions-emersons-ovation-green-scada-software-supports-adani-green-energys-battery-energy-storage-system" TargetMode="External"/><Relationship Id="rId43" Type="http://schemas.openxmlformats.org/officeDocument/2006/relationships/hyperlink" Target="https://www.ess-news.com/?p=1965" TargetMode="External"/><Relationship Id="rId44" Type="http://schemas.openxmlformats.org/officeDocument/2006/relationships/hyperlink" Target="https://ieefa.org/sites/default/files/2026-09/ESSjmk-0926.pdf" TargetMode="External"/><Relationship Id="rId45" Type="http://schemas.openxmlformats.org/officeDocument/2006/relationships/hyperlink" Target="https://www.servotech.in/blog/?p=18388" TargetMode="External"/><Relationship Id="rId46" Type="http://schemas.openxmlformats.org/officeDocument/2006/relationships/hyperlink" Target="https://ieefa.org/sites/default/files/2026-09/ESSjmk-0926.pdf" TargetMode="External"/><Relationship Id="rId47" Type="http://schemas.openxmlformats.org/officeDocument/2006/relationships/hyperlink" Target="https://ieefa.org/sites/default/files/2026-09/ESSjmk-0926.pdf" TargetMode="External"/><Relationship Id="rId48" Type="http://schemas.openxmlformats.org/officeDocument/2006/relationships/hyperlink" Target="https://themachinemaker.com/news/hitachi-energy-invests-inr-2000-crore-in-new-transformer-facility-to-support-indias-expanding-power-grid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8"/>
    <col collapsed="false" customWidth="true" hidden="false" outlineLevel="0" max="3" min="3" style="0" width="24"/>
    <col collapsed="false" customWidth="true" hidden="false" outlineLevel="0" max="4" min="4" style="0" width="48"/>
    <col collapsed="false" customWidth="true" hidden="false" outlineLevel="0" max="5" min="5" style="0" width="40"/>
    <col collapsed="false" customWidth="true" hidden="false" outlineLevel="0" max="6" min="6" style="0" width="42"/>
    <col collapsed="false" customWidth="true" hidden="false" outlineLevel="0" max="7" min="7" style="0" width="52"/>
    <col collapsed="false" customWidth="true" hidden="false" outlineLevel="0" max="8" min="8" style="0" width="40"/>
    <col collapsed="false" customWidth="true" hidden="false" outlineLevel="0" max="9" min="9" style="0" width="3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customFormat="false" ht="163.5" hidden="false" customHeight="true" outlineLevel="0" collapsed="false">
      <c r="A5" s="4" t="n">
        <v>1</v>
      </c>
      <c r="B5" s="5" t="s">
        <v>11</v>
      </c>
      <c r="C5" s="6" t="s">
        <v>12</v>
      </c>
      <c r="D5" s="6" t="s">
        <v>13</v>
      </c>
      <c r="E5" s="6" t="s">
        <v>14</v>
      </c>
      <c r="F5" s="6" t="s">
        <v>15</v>
      </c>
      <c r="G5" s="6" t="s">
        <v>16</v>
      </c>
      <c r="H5" s="6" t="s">
        <v>17</v>
      </c>
      <c r="I5" s="6" t="s">
        <v>18</v>
      </c>
    </row>
    <row r="6" customFormat="false" ht="138" hidden="false" customHeight="true" outlineLevel="0" collapsed="false">
      <c r="A6" s="7" t="n">
        <v>2</v>
      </c>
      <c r="B6" s="8" t="s">
        <v>19</v>
      </c>
      <c r="C6" s="9" t="s">
        <v>20</v>
      </c>
      <c r="D6" s="9" t="s">
        <v>21</v>
      </c>
      <c r="E6" s="9" t="s">
        <v>22</v>
      </c>
      <c r="F6" s="9" t="s">
        <v>23</v>
      </c>
      <c r="G6" s="9" t="s">
        <v>24</v>
      </c>
      <c r="H6" s="9" t="s">
        <v>25</v>
      </c>
      <c r="I6" s="9" t="s">
        <v>26</v>
      </c>
    </row>
    <row r="7" customFormat="false" ht="177" hidden="false" customHeight="true" outlineLevel="0" collapsed="false">
      <c r="A7" s="4" t="n">
        <v>3</v>
      </c>
      <c r="B7" s="5" t="s">
        <v>27</v>
      </c>
      <c r="C7" s="6" t="s">
        <v>28</v>
      </c>
      <c r="D7" s="6" t="s">
        <v>29</v>
      </c>
      <c r="E7" s="6" t="s">
        <v>30</v>
      </c>
      <c r="F7" s="6" t="s">
        <v>31</v>
      </c>
      <c r="G7" s="6" t="s">
        <v>32</v>
      </c>
      <c r="H7" s="6" t="s">
        <v>33</v>
      </c>
      <c r="I7" s="6" t="s">
        <v>34</v>
      </c>
    </row>
    <row r="8" customFormat="false" ht="99" hidden="false" customHeight="true" outlineLevel="0" collapsed="false">
      <c r="A8" s="7" t="n">
        <v>4</v>
      </c>
      <c r="B8" s="8" t="s">
        <v>35</v>
      </c>
      <c r="C8" s="9" t="s">
        <v>36</v>
      </c>
      <c r="D8" s="9" t="s">
        <v>37</v>
      </c>
      <c r="E8" s="9" t="s">
        <v>38</v>
      </c>
      <c r="F8" s="9" t="s">
        <v>39</v>
      </c>
      <c r="G8" s="9" t="s">
        <v>40</v>
      </c>
      <c r="H8" s="9" t="s">
        <v>41</v>
      </c>
      <c r="I8" s="9" t="s">
        <v>42</v>
      </c>
    </row>
    <row r="9" customFormat="false" ht="138" hidden="false" customHeight="true" outlineLevel="0" collapsed="false">
      <c r="A9" s="4" t="n">
        <v>5</v>
      </c>
      <c r="B9" s="5" t="s">
        <v>43</v>
      </c>
      <c r="C9" s="6" t="s">
        <v>44</v>
      </c>
      <c r="D9" s="6" t="s">
        <v>45</v>
      </c>
      <c r="E9" s="6" t="s">
        <v>46</v>
      </c>
      <c r="F9" s="6" t="s">
        <v>47</v>
      </c>
      <c r="G9" s="6" t="s">
        <v>48</v>
      </c>
      <c r="H9" s="6" t="s">
        <v>49</v>
      </c>
      <c r="I9" s="6" t="s">
        <v>50</v>
      </c>
    </row>
    <row r="10" customFormat="false" ht="189.75" hidden="false" customHeight="true" outlineLevel="0" collapsed="false">
      <c r="A10" s="7" t="n">
        <v>6</v>
      </c>
      <c r="B10" s="8" t="s">
        <v>51</v>
      </c>
      <c r="C10" s="9" t="s">
        <v>52</v>
      </c>
      <c r="D10" s="9" t="s">
        <v>53</v>
      </c>
      <c r="E10" s="9" t="s">
        <v>54</v>
      </c>
      <c r="F10" s="9" t="s">
        <v>55</v>
      </c>
      <c r="G10" s="9" t="s">
        <v>56</v>
      </c>
      <c r="H10" s="9" t="s">
        <v>57</v>
      </c>
      <c r="I10" s="9" t="s">
        <v>58</v>
      </c>
    </row>
    <row r="11" customFormat="false" ht="150.75" hidden="false" customHeight="true" outlineLevel="0" collapsed="false">
      <c r="A11" s="4" t="n">
        <v>7</v>
      </c>
      <c r="B11" s="5" t="s">
        <v>59</v>
      </c>
      <c r="C11" s="6" t="s">
        <v>60</v>
      </c>
      <c r="D11" s="6" t="s">
        <v>61</v>
      </c>
      <c r="E11" s="6" t="s">
        <v>62</v>
      </c>
      <c r="F11" s="6" t="s">
        <v>63</v>
      </c>
      <c r="G11" s="6" t="s">
        <v>64</v>
      </c>
      <c r="H11" s="6" t="s">
        <v>65</v>
      </c>
      <c r="I11" s="6" t="s">
        <v>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8"/>
    <col collapsed="false" customWidth="true" hidden="false" outlineLevel="0" max="3" min="3" style="0" width="40"/>
    <col collapsed="false" customWidth="true" hidden="false" outlineLevel="0" max="4" min="4" style="0" width="3"/>
    <col collapsed="false" customWidth="true" hidden="false" outlineLevel="0" max="5" min="5" style="0" width="36"/>
    <col collapsed="false" customWidth="true" hidden="false" outlineLevel="0" max="6" min="6" style="0" width="24"/>
    <col collapsed="false" customWidth="true" hidden="false" outlineLevel="0" max="7" min="7" style="0" width="46"/>
  </cols>
  <sheetData>
    <row r="1" customFormat="false" ht="17.35" hidden="false" customHeight="false" outlineLevel="0" collapsed="false">
      <c r="A1" s="1" t="s">
        <v>67</v>
      </c>
    </row>
    <row r="2" customFormat="false" ht="15" hidden="false" customHeight="false" outlineLevel="0" collapsed="false">
      <c r="A2" s="2" t="s">
        <v>68</v>
      </c>
    </row>
    <row r="4" customFormat="false" ht="21.75" hidden="false" customHeight="true" outlineLevel="0" collapsed="false">
      <c r="A4" s="10" t="s">
        <v>69</v>
      </c>
      <c r="B4" s="10"/>
      <c r="C4" s="10"/>
      <c r="D4" s="10"/>
      <c r="E4" s="10"/>
      <c r="F4" s="10"/>
      <c r="G4" s="10"/>
    </row>
    <row r="5" customFormat="false" ht="15" hidden="false" customHeight="false" outlineLevel="0" collapsed="false">
      <c r="A5" s="11" t="s">
        <v>70</v>
      </c>
      <c r="B5" s="11" t="s">
        <v>71</v>
      </c>
      <c r="C5" s="11" t="s">
        <v>72</v>
      </c>
      <c r="E5" s="11" t="s">
        <v>8</v>
      </c>
      <c r="F5" s="11" t="s">
        <v>73</v>
      </c>
      <c r="G5" s="11" t="s">
        <v>74</v>
      </c>
    </row>
    <row r="6" customFormat="false" ht="23.85" hidden="false" customHeight="false" outlineLevel="0" collapsed="false">
      <c r="A6" s="5" t="s">
        <v>75</v>
      </c>
      <c r="B6" s="6" t="s">
        <v>76</v>
      </c>
      <c r="C6" s="6" t="s">
        <v>77</v>
      </c>
      <c r="E6" s="5" t="s">
        <v>78</v>
      </c>
      <c r="F6" s="6" t="s">
        <v>79</v>
      </c>
      <c r="G6" s="6" t="s">
        <v>80</v>
      </c>
    </row>
    <row r="7" customFormat="false" ht="15" hidden="false" customHeight="false" outlineLevel="0" collapsed="false">
      <c r="A7" s="5" t="s">
        <v>81</v>
      </c>
      <c r="B7" s="6" t="s">
        <v>82</v>
      </c>
      <c r="C7" s="6" t="s">
        <v>77</v>
      </c>
      <c r="E7" s="5" t="s">
        <v>83</v>
      </c>
      <c r="F7" s="6" t="s">
        <v>84</v>
      </c>
      <c r="G7" s="6" t="s">
        <v>85</v>
      </c>
    </row>
    <row r="8" customFormat="false" ht="23.85" hidden="false" customHeight="false" outlineLevel="0" collapsed="false">
      <c r="A8" s="5" t="s">
        <v>86</v>
      </c>
      <c r="B8" s="6" t="s">
        <v>87</v>
      </c>
      <c r="C8" s="6" t="s">
        <v>77</v>
      </c>
      <c r="E8" s="5" t="s">
        <v>88</v>
      </c>
      <c r="F8" s="6" t="s">
        <v>89</v>
      </c>
      <c r="G8" s="6" t="s">
        <v>90</v>
      </c>
    </row>
    <row r="9" customFormat="false" ht="15" hidden="false" customHeight="false" outlineLevel="0" collapsed="false">
      <c r="A9" s="5" t="s">
        <v>91</v>
      </c>
      <c r="B9" s="6" t="s">
        <v>87</v>
      </c>
      <c r="C9" s="6" t="s">
        <v>77</v>
      </c>
      <c r="E9" s="5" t="s">
        <v>92</v>
      </c>
      <c r="F9" s="6" t="s">
        <v>93</v>
      </c>
      <c r="G9" s="6" t="s">
        <v>94</v>
      </c>
    </row>
    <row r="10" customFormat="false" ht="23.85" hidden="false" customHeight="false" outlineLevel="0" collapsed="false">
      <c r="A10" s="5" t="s">
        <v>95</v>
      </c>
      <c r="B10" s="6" t="s">
        <v>96</v>
      </c>
      <c r="C10" s="6" t="s">
        <v>97</v>
      </c>
      <c r="E10" s="5" t="s">
        <v>98</v>
      </c>
      <c r="F10" s="6" t="s">
        <v>99</v>
      </c>
      <c r="G10" s="6" t="s">
        <v>100</v>
      </c>
    </row>
    <row r="11" customFormat="false" ht="15" hidden="false" customHeight="false" outlineLevel="0" collapsed="false">
      <c r="A11" s="5" t="s">
        <v>101</v>
      </c>
      <c r="B11" s="6" t="s">
        <v>96</v>
      </c>
      <c r="C11" s="6" t="s">
        <v>97</v>
      </c>
      <c r="E11" s="5" t="s">
        <v>102</v>
      </c>
      <c r="F11" s="6" t="s">
        <v>103</v>
      </c>
      <c r="G11" s="6" t="s">
        <v>104</v>
      </c>
    </row>
    <row r="12" customFormat="false" ht="15" hidden="false" customHeight="false" outlineLevel="0" collapsed="false">
      <c r="A12" s="5" t="s">
        <v>105</v>
      </c>
      <c r="B12" s="6" t="s">
        <v>106</v>
      </c>
      <c r="C12" s="6" t="s">
        <v>77</v>
      </c>
      <c r="E12" s="5" t="s">
        <v>107</v>
      </c>
      <c r="F12" s="6" t="s">
        <v>108</v>
      </c>
      <c r="G12" s="6" t="s">
        <v>109</v>
      </c>
    </row>
    <row r="13" customFormat="false" ht="15" hidden="false" customHeight="false" outlineLevel="0" collapsed="false">
      <c r="A13" s="5" t="s">
        <v>110</v>
      </c>
      <c r="B13" s="6" t="s">
        <v>87</v>
      </c>
      <c r="C13" s="6" t="s">
        <v>111</v>
      </c>
      <c r="E13" s="5" t="s">
        <v>112</v>
      </c>
      <c r="F13" s="6" t="s">
        <v>103</v>
      </c>
      <c r="G13" s="6" t="s">
        <v>113</v>
      </c>
    </row>
    <row r="14" customFormat="false" ht="15" hidden="false" customHeight="false" outlineLevel="0" collapsed="false">
      <c r="A14" s="5" t="s">
        <v>114</v>
      </c>
      <c r="B14" s="6" t="s">
        <v>87</v>
      </c>
      <c r="C14" s="6" t="s">
        <v>115</v>
      </c>
      <c r="E14" s="5" t="s">
        <v>116</v>
      </c>
      <c r="F14" s="6" t="s">
        <v>117</v>
      </c>
      <c r="G14" s="6" t="s">
        <v>118</v>
      </c>
    </row>
    <row r="15" customFormat="false" ht="15" hidden="false" customHeight="false" outlineLevel="0" collapsed="false">
      <c r="A15" s="5" t="s">
        <v>119</v>
      </c>
      <c r="B15" s="6" t="s">
        <v>87</v>
      </c>
      <c r="C15" s="6" t="s">
        <v>115</v>
      </c>
    </row>
    <row r="16" customFormat="false" ht="15" hidden="false" customHeight="false" outlineLevel="0" collapsed="false">
      <c r="A16" s="5" t="s">
        <v>120</v>
      </c>
      <c r="B16" s="6" t="s">
        <v>87</v>
      </c>
      <c r="C16" s="6" t="s">
        <v>121</v>
      </c>
    </row>
    <row r="17" customFormat="false" ht="15" hidden="false" customHeight="false" outlineLevel="0" collapsed="false">
      <c r="A17" s="5" t="s">
        <v>122</v>
      </c>
      <c r="B17" s="6" t="s">
        <v>87</v>
      </c>
      <c r="C17" s="6" t="s">
        <v>115</v>
      </c>
    </row>
    <row r="18" customFormat="false" ht="15" hidden="false" customHeight="false" outlineLevel="0" collapsed="false">
      <c r="A18" s="5" t="s">
        <v>123</v>
      </c>
      <c r="B18" s="6" t="s">
        <v>87</v>
      </c>
      <c r="C18" s="6" t="s">
        <v>124</v>
      </c>
    </row>
    <row r="19" customFormat="false" ht="15" hidden="false" customHeight="false" outlineLevel="0" collapsed="false">
      <c r="A19" s="5" t="s">
        <v>125</v>
      </c>
      <c r="B19" s="6" t="s">
        <v>87</v>
      </c>
      <c r="C19" s="6" t="s">
        <v>124</v>
      </c>
    </row>
    <row r="20" customFormat="false" ht="15" hidden="false" customHeight="false" outlineLevel="0" collapsed="false">
      <c r="A20" s="5" t="s">
        <v>126</v>
      </c>
      <c r="B20" s="6" t="s">
        <v>87</v>
      </c>
      <c r="C20" s="6" t="s">
        <v>127</v>
      </c>
    </row>
    <row r="21" customFormat="false" ht="15" hidden="false" customHeight="false" outlineLevel="0" collapsed="false">
      <c r="A21" s="5" t="s">
        <v>128</v>
      </c>
      <c r="B21" s="6" t="s">
        <v>87</v>
      </c>
      <c r="C21" s="6" t="s">
        <v>129</v>
      </c>
    </row>
    <row r="22" customFormat="false" ht="15" hidden="false" customHeight="false" outlineLevel="0" collapsed="false">
      <c r="A22" s="5" t="s">
        <v>130</v>
      </c>
      <c r="B22" s="6" t="s">
        <v>87</v>
      </c>
      <c r="C22" s="6" t="s">
        <v>129</v>
      </c>
    </row>
    <row r="23" customFormat="false" ht="15" hidden="false" customHeight="false" outlineLevel="0" collapsed="false">
      <c r="A23" s="5" t="s">
        <v>131</v>
      </c>
      <c r="B23" s="6" t="s">
        <v>87</v>
      </c>
      <c r="C23" s="6" t="s">
        <v>129</v>
      </c>
    </row>
    <row r="24" customFormat="false" ht="15" hidden="false" customHeight="false" outlineLevel="0" collapsed="false">
      <c r="A24" s="5" t="s">
        <v>132</v>
      </c>
      <c r="B24" s="6" t="s">
        <v>87</v>
      </c>
      <c r="C24" s="6" t="s">
        <v>133</v>
      </c>
    </row>
    <row r="25" customFormat="false" ht="15" hidden="false" customHeight="false" outlineLevel="0" collapsed="false">
      <c r="A25" s="5" t="s">
        <v>134</v>
      </c>
      <c r="B25" s="6" t="s">
        <v>87</v>
      </c>
      <c r="C25" s="6" t="s">
        <v>135</v>
      </c>
    </row>
    <row r="26" customFormat="false" ht="15" hidden="false" customHeight="false" outlineLevel="0" collapsed="false">
      <c r="A26" s="5" t="s">
        <v>136</v>
      </c>
      <c r="B26" s="6" t="s">
        <v>87</v>
      </c>
      <c r="C26" s="6" t="s">
        <v>135</v>
      </c>
    </row>
    <row r="28" customFormat="false" ht="21.75" hidden="false" customHeight="true" outlineLevel="0" collapsed="false">
      <c r="A28" s="10" t="s">
        <v>137</v>
      </c>
      <c r="B28" s="10"/>
      <c r="C28" s="10"/>
      <c r="D28" s="10"/>
      <c r="E28" s="10"/>
      <c r="F28" s="10"/>
      <c r="G28" s="10"/>
    </row>
    <row r="29" customFormat="false" ht="15" hidden="false" customHeight="false" outlineLevel="0" collapsed="false">
      <c r="A29" s="11" t="s">
        <v>70</v>
      </c>
      <c r="B29" s="11" t="s">
        <v>71</v>
      </c>
      <c r="C29" s="11" t="s">
        <v>72</v>
      </c>
      <c r="E29" s="11" t="s">
        <v>8</v>
      </c>
      <c r="F29" s="11" t="s">
        <v>73</v>
      </c>
      <c r="G29" s="11" t="s">
        <v>74</v>
      </c>
    </row>
    <row r="30" customFormat="false" ht="15" hidden="false" customHeight="false" outlineLevel="0" collapsed="false">
      <c r="A30" s="5" t="s">
        <v>138</v>
      </c>
      <c r="B30" s="6" t="s">
        <v>87</v>
      </c>
      <c r="C30" s="6" t="s">
        <v>139</v>
      </c>
      <c r="E30" s="5" t="s">
        <v>140</v>
      </c>
      <c r="F30" s="6" t="s">
        <v>141</v>
      </c>
      <c r="G30" s="6" t="s">
        <v>142</v>
      </c>
    </row>
    <row r="31" customFormat="false" ht="15" hidden="false" customHeight="false" outlineLevel="0" collapsed="false">
      <c r="A31" s="5" t="s">
        <v>143</v>
      </c>
      <c r="B31" s="6" t="s">
        <v>87</v>
      </c>
      <c r="C31" s="6" t="s">
        <v>144</v>
      </c>
      <c r="E31" s="5" t="s">
        <v>145</v>
      </c>
      <c r="F31" s="6" t="s">
        <v>146</v>
      </c>
      <c r="G31" s="6" t="s">
        <v>147</v>
      </c>
    </row>
    <row r="32" customFormat="false" ht="15" hidden="false" customHeight="false" outlineLevel="0" collapsed="false">
      <c r="A32" s="5" t="s">
        <v>148</v>
      </c>
      <c r="B32" s="6" t="s">
        <v>87</v>
      </c>
      <c r="C32" s="6" t="s">
        <v>144</v>
      </c>
      <c r="E32" s="5" t="s">
        <v>149</v>
      </c>
      <c r="F32" s="6" t="s">
        <v>150</v>
      </c>
      <c r="G32" s="6" t="s">
        <v>151</v>
      </c>
    </row>
    <row r="33" customFormat="false" ht="15" hidden="false" customHeight="false" outlineLevel="0" collapsed="false">
      <c r="A33" s="5" t="s">
        <v>152</v>
      </c>
      <c r="B33" s="6" t="s">
        <v>87</v>
      </c>
      <c r="C33" s="6" t="s">
        <v>153</v>
      </c>
      <c r="E33" s="5" t="s">
        <v>154</v>
      </c>
      <c r="F33" s="6" t="s">
        <v>155</v>
      </c>
      <c r="G33" s="6" t="s">
        <v>156</v>
      </c>
    </row>
    <row r="34" customFormat="false" ht="15" hidden="false" customHeight="false" outlineLevel="0" collapsed="false">
      <c r="A34" s="5" t="s">
        <v>157</v>
      </c>
      <c r="B34" s="6" t="s">
        <v>87</v>
      </c>
      <c r="C34" s="6" t="s">
        <v>158</v>
      </c>
      <c r="E34" s="5" t="s">
        <v>159</v>
      </c>
      <c r="F34" s="6" t="s">
        <v>160</v>
      </c>
      <c r="G34" s="6" t="s">
        <v>161</v>
      </c>
    </row>
    <row r="35" customFormat="false" ht="15" hidden="false" customHeight="false" outlineLevel="0" collapsed="false">
      <c r="A35" s="5" t="s">
        <v>162</v>
      </c>
      <c r="B35" s="6" t="s">
        <v>87</v>
      </c>
      <c r="C35" s="6" t="s">
        <v>158</v>
      </c>
    </row>
    <row r="36" customFormat="false" ht="15" hidden="false" customHeight="false" outlineLevel="0" collapsed="false">
      <c r="A36" s="5" t="s">
        <v>163</v>
      </c>
      <c r="B36" s="6" t="s">
        <v>87</v>
      </c>
      <c r="C36" s="6" t="s">
        <v>164</v>
      </c>
    </row>
    <row r="37" customFormat="false" ht="15" hidden="false" customHeight="false" outlineLevel="0" collapsed="false">
      <c r="A37" s="5" t="s">
        <v>165</v>
      </c>
      <c r="B37" s="6" t="s">
        <v>87</v>
      </c>
      <c r="C37" s="6" t="s">
        <v>166</v>
      </c>
    </row>
    <row r="38" customFormat="false" ht="15" hidden="false" customHeight="false" outlineLevel="0" collapsed="false">
      <c r="A38" s="5" t="s">
        <v>167</v>
      </c>
      <c r="B38" s="6" t="s">
        <v>168</v>
      </c>
      <c r="C38" s="6" t="s">
        <v>169</v>
      </c>
    </row>
    <row r="39" customFormat="false" ht="15" hidden="false" customHeight="false" outlineLevel="0" collapsed="false">
      <c r="A39" s="5" t="s">
        <v>170</v>
      </c>
      <c r="B39" s="6" t="s">
        <v>168</v>
      </c>
      <c r="C39" s="6" t="s">
        <v>171</v>
      </c>
    </row>
    <row r="41" customFormat="false" ht="21.75" hidden="false" customHeight="true" outlineLevel="0" collapsed="false">
      <c r="A41" s="10" t="s">
        <v>172</v>
      </c>
      <c r="B41" s="10"/>
      <c r="C41" s="10"/>
      <c r="D41" s="10"/>
      <c r="E41" s="10"/>
      <c r="F41" s="10"/>
      <c r="G41" s="10"/>
    </row>
    <row r="42" customFormat="false" ht="15" hidden="false" customHeight="false" outlineLevel="0" collapsed="false">
      <c r="A42" s="11" t="s">
        <v>70</v>
      </c>
      <c r="B42" s="11" t="s">
        <v>71</v>
      </c>
      <c r="C42" s="11" t="s">
        <v>72</v>
      </c>
      <c r="E42" s="11" t="s">
        <v>8</v>
      </c>
      <c r="F42" s="11" t="s">
        <v>73</v>
      </c>
      <c r="G42" s="11" t="s">
        <v>74</v>
      </c>
    </row>
    <row r="43" customFormat="false" ht="23.85" hidden="false" customHeight="false" outlineLevel="0" collapsed="false">
      <c r="A43" s="5" t="s">
        <v>138</v>
      </c>
      <c r="B43" s="6" t="s">
        <v>87</v>
      </c>
      <c r="C43" s="6" t="s">
        <v>173</v>
      </c>
      <c r="E43" s="5" t="s">
        <v>145</v>
      </c>
      <c r="F43" s="6" t="s">
        <v>146</v>
      </c>
      <c r="G43" s="6" t="s">
        <v>147</v>
      </c>
    </row>
    <row r="44" customFormat="false" ht="15" hidden="false" customHeight="false" outlineLevel="0" collapsed="false">
      <c r="A44" s="5" t="s">
        <v>152</v>
      </c>
      <c r="B44" s="6" t="s">
        <v>87</v>
      </c>
      <c r="C44" s="6" t="s">
        <v>174</v>
      </c>
      <c r="E44" s="5" t="s">
        <v>149</v>
      </c>
      <c r="F44" s="6" t="s">
        <v>150</v>
      </c>
      <c r="G44" s="6" t="s">
        <v>151</v>
      </c>
    </row>
    <row r="45" customFormat="false" ht="23.85" hidden="false" customHeight="false" outlineLevel="0" collapsed="false">
      <c r="A45" s="5" t="s">
        <v>143</v>
      </c>
      <c r="B45" s="6" t="s">
        <v>87</v>
      </c>
      <c r="C45" s="6" t="s">
        <v>174</v>
      </c>
      <c r="E45" s="5" t="s">
        <v>175</v>
      </c>
      <c r="F45" s="6" t="s">
        <v>176</v>
      </c>
      <c r="G45" s="6" t="s">
        <v>177</v>
      </c>
    </row>
    <row r="46" customFormat="false" ht="15" hidden="false" customHeight="false" outlineLevel="0" collapsed="false">
      <c r="A46" s="5" t="s">
        <v>148</v>
      </c>
      <c r="B46" s="6" t="s">
        <v>87</v>
      </c>
      <c r="C46" s="6" t="s">
        <v>178</v>
      </c>
      <c r="E46" s="5" t="s">
        <v>179</v>
      </c>
      <c r="F46" s="6" t="s">
        <v>146</v>
      </c>
      <c r="G46" s="6" t="s">
        <v>180</v>
      </c>
    </row>
    <row r="47" customFormat="false" ht="15" hidden="false" customHeight="false" outlineLevel="0" collapsed="false">
      <c r="A47" s="5" t="s">
        <v>181</v>
      </c>
      <c r="B47" s="6" t="s">
        <v>76</v>
      </c>
      <c r="C47" s="6" t="s">
        <v>182</v>
      </c>
      <c r="E47" s="5" t="s">
        <v>183</v>
      </c>
      <c r="F47" s="6" t="s">
        <v>150</v>
      </c>
      <c r="G47" s="6" t="s">
        <v>184</v>
      </c>
    </row>
    <row r="48" customFormat="false" ht="15" hidden="false" customHeight="false" outlineLevel="0" collapsed="false">
      <c r="A48" s="5" t="s">
        <v>185</v>
      </c>
      <c r="B48" s="6" t="s">
        <v>87</v>
      </c>
      <c r="C48" s="6" t="s">
        <v>186</v>
      </c>
      <c r="E48" s="5" t="s">
        <v>187</v>
      </c>
      <c r="F48" s="6" t="s">
        <v>188</v>
      </c>
      <c r="G48" s="6" t="s">
        <v>189</v>
      </c>
    </row>
    <row r="49" customFormat="false" ht="23.85" hidden="false" customHeight="false" outlineLevel="0" collapsed="false">
      <c r="A49" s="5" t="s">
        <v>190</v>
      </c>
      <c r="B49" s="6" t="s">
        <v>76</v>
      </c>
      <c r="C49" s="6" t="s">
        <v>191</v>
      </c>
      <c r="E49" s="5" t="s">
        <v>192</v>
      </c>
      <c r="F49" s="6" t="s">
        <v>193</v>
      </c>
      <c r="G49" s="6" t="s">
        <v>194</v>
      </c>
    </row>
    <row r="50" customFormat="false" ht="15" hidden="false" customHeight="false" outlineLevel="0" collapsed="false">
      <c r="A50" s="5" t="s">
        <v>195</v>
      </c>
      <c r="B50" s="6" t="s">
        <v>87</v>
      </c>
      <c r="C50" s="6" t="s">
        <v>196</v>
      </c>
      <c r="E50" s="5" t="s">
        <v>197</v>
      </c>
      <c r="F50" s="6" t="s">
        <v>198</v>
      </c>
      <c r="G50" s="6" t="s">
        <v>199</v>
      </c>
    </row>
    <row r="51" customFormat="false" ht="15" hidden="false" customHeight="false" outlineLevel="0" collapsed="false">
      <c r="A51" s="5" t="s">
        <v>200</v>
      </c>
      <c r="B51" s="6" t="s">
        <v>87</v>
      </c>
      <c r="C51" s="6" t="s">
        <v>201</v>
      </c>
      <c r="E51" s="5" t="s">
        <v>202</v>
      </c>
      <c r="F51" s="6" t="s">
        <v>203</v>
      </c>
      <c r="G51" s="6" t="s">
        <v>204</v>
      </c>
    </row>
    <row r="52" customFormat="false" ht="15" hidden="false" customHeight="false" outlineLevel="0" collapsed="false">
      <c r="E52" s="5" t="s">
        <v>205</v>
      </c>
      <c r="F52" s="6" t="s">
        <v>99</v>
      </c>
      <c r="G52" s="6" t="s">
        <v>206</v>
      </c>
    </row>
    <row r="53" customFormat="false" ht="15" hidden="false" customHeight="false" outlineLevel="0" collapsed="false">
      <c r="E53" s="5" t="s">
        <v>207</v>
      </c>
      <c r="F53" s="6" t="s">
        <v>93</v>
      </c>
      <c r="G53" s="6" t="s">
        <v>208</v>
      </c>
    </row>
    <row r="54" customFormat="false" ht="15" hidden="false" customHeight="false" outlineLevel="0" collapsed="false">
      <c r="E54" s="5" t="s">
        <v>209</v>
      </c>
      <c r="F54" s="6" t="s">
        <v>210</v>
      </c>
      <c r="G54" s="6" t="s">
        <v>211</v>
      </c>
    </row>
    <row r="55" customFormat="false" ht="15" hidden="false" customHeight="false" outlineLevel="0" collapsed="false">
      <c r="E55" s="5" t="s">
        <v>212</v>
      </c>
      <c r="F55" s="6" t="s">
        <v>213</v>
      </c>
      <c r="G55" s="6" t="s">
        <v>214</v>
      </c>
    </row>
    <row r="56" customFormat="false" ht="15" hidden="false" customHeight="false" outlineLevel="0" collapsed="false">
      <c r="E56" s="5" t="s">
        <v>215</v>
      </c>
      <c r="F56" s="6" t="s">
        <v>103</v>
      </c>
      <c r="G56" s="6" t="s">
        <v>216</v>
      </c>
    </row>
    <row r="58" customFormat="false" ht="21.75" hidden="false" customHeight="true" outlineLevel="0" collapsed="false">
      <c r="A58" s="10" t="s">
        <v>217</v>
      </c>
      <c r="B58" s="10"/>
      <c r="C58" s="10"/>
      <c r="D58" s="10"/>
      <c r="E58" s="10"/>
      <c r="F58" s="10"/>
      <c r="G58" s="10"/>
    </row>
    <row r="59" customFormat="false" ht="15" hidden="false" customHeight="false" outlineLevel="0" collapsed="false">
      <c r="A59" s="11" t="s">
        <v>70</v>
      </c>
      <c r="B59" s="11" t="s">
        <v>71</v>
      </c>
      <c r="C59" s="11" t="s">
        <v>72</v>
      </c>
      <c r="E59" s="11" t="s">
        <v>8</v>
      </c>
      <c r="F59" s="11" t="s">
        <v>73</v>
      </c>
      <c r="G59" s="11" t="s">
        <v>74</v>
      </c>
    </row>
    <row r="60" customFormat="false" ht="15" hidden="false" customHeight="false" outlineLevel="0" collapsed="false">
      <c r="A60" s="5" t="s">
        <v>218</v>
      </c>
      <c r="B60" s="6" t="s">
        <v>87</v>
      </c>
      <c r="C60" s="6" t="s">
        <v>219</v>
      </c>
      <c r="E60" s="5" t="s">
        <v>220</v>
      </c>
      <c r="F60" s="6" t="s">
        <v>103</v>
      </c>
      <c r="G60" s="6" t="s">
        <v>221</v>
      </c>
    </row>
    <row r="61" customFormat="false" ht="15" hidden="false" customHeight="false" outlineLevel="0" collapsed="false">
      <c r="A61" s="5" t="s">
        <v>222</v>
      </c>
      <c r="B61" s="6" t="s">
        <v>87</v>
      </c>
      <c r="C61" s="6" t="s">
        <v>223</v>
      </c>
      <c r="E61" s="5" t="s">
        <v>215</v>
      </c>
      <c r="F61" s="6" t="s">
        <v>103</v>
      </c>
      <c r="G61" s="6" t="s">
        <v>216</v>
      </c>
    </row>
    <row r="62" customFormat="false" ht="15" hidden="false" customHeight="false" outlineLevel="0" collapsed="false">
      <c r="A62" s="5" t="s">
        <v>224</v>
      </c>
      <c r="B62" s="6" t="s">
        <v>87</v>
      </c>
      <c r="C62" s="6" t="s">
        <v>225</v>
      </c>
      <c r="E62" s="5" t="s">
        <v>226</v>
      </c>
      <c r="F62" s="6" t="s">
        <v>227</v>
      </c>
      <c r="G62" s="6" t="s">
        <v>228</v>
      </c>
    </row>
    <row r="63" customFormat="false" ht="15" hidden="false" customHeight="false" outlineLevel="0" collapsed="false">
      <c r="A63" s="5" t="s">
        <v>229</v>
      </c>
      <c r="B63" s="6" t="s">
        <v>76</v>
      </c>
      <c r="C63" s="6" t="s">
        <v>230</v>
      </c>
      <c r="E63" s="5" t="s">
        <v>231</v>
      </c>
      <c r="F63" s="6" t="s">
        <v>232</v>
      </c>
      <c r="G63" s="6" t="s">
        <v>233</v>
      </c>
    </row>
    <row r="64" customFormat="false" ht="15" hidden="false" customHeight="false" outlineLevel="0" collapsed="false">
      <c r="A64" s="5" t="s">
        <v>190</v>
      </c>
      <c r="B64" s="6" t="s">
        <v>76</v>
      </c>
      <c r="C64" s="6" t="s">
        <v>234</v>
      </c>
    </row>
    <row r="65" customFormat="false" ht="15" hidden="false" customHeight="false" outlineLevel="0" collapsed="false">
      <c r="A65" s="5" t="s">
        <v>181</v>
      </c>
      <c r="B65" s="6" t="s">
        <v>76</v>
      </c>
      <c r="C65" s="6" t="s">
        <v>235</v>
      </c>
    </row>
    <row r="66" customFormat="false" ht="15" hidden="false" customHeight="false" outlineLevel="0" collapsed="false">
      <c r="A66" s="5" t="s">
        <v>236</v>
      </c>
      <c r="B66" s="6" t="s">
        <v>237</v>
      </c>
      <c r="C66" s="6" t="s">
        <v>238</v>
      </c>
    </row>
    <row r="67" customFormat="false" ht="15" hidden="false" customHeight="false" outlineLevel="0" collapsed="false">
      <c r="A67" s="5" t="s">
        <v>239</v>
      </c>
      <c r="B67" s="6" t="s">
        <v>76</v>
      </c>
      <c r="C67" s="6" t="s">
        <v>240</v>
      </c>
    </row>
    <row r="68" customFormat="false" ht="23.85" hidden="false" customHeight="false" outlineLevel="0" collapsed="false">
      <c r="A68" s="5" t="s">
        <v>241</v>
      </c>
      <c r="B68" s="6" t="s">
        <v>242</v>
      </c>
      <c r="C68" s="6" t="s">
        <v>243</v>
      </c>
    </row>
    <row r="70" customFormat="false" ht="21.75" hidden="false" customHeight="true" outlineLevel="0" collapsed="false">
      <c r="A70" s="10" t="s">
        <v>244</v>
      </c>
      <c r="B70" s="10"/>
      <c r="C70" s="10"/>
      <c r="D70" s="10"/>
      <c r="E70" s="10"/>
      <c r="F70" s="10"/>
      <c r="G70" s="10"/>
    </row>
    <row r="71" customFormat="false" ht="15" hidden="false" customHeight="false" outlineLevel="0" collapsed="false">
      <c r="A71" s="11" t="s">
        <v>70</v>
      </c>
      <c r="B71" s="11" t="s">
        <v>71</v>
      </c>
      <c r="C71" s="11" t="s">
        <v>72</v>
      </c>
      <c r="E71" s="11" t="s">
        <v>8</v>
      </c>
      <c r="F71" s="11" t="s">
        <v>73</v>
      </c>
      <c r="G71" s="11" t="s">
        <v>74</v>
      </c>
    </row>
    <row r="72" customFormat="false" ht="23.85" hidden="false" customHeight="false" outlineLevel="0" collapsed="false">
      <c r="A72" s="5" t="s">
        <v>185</v>
      </c>
      <c r="B72" s="6" t="s">
        <v>87</v>
      </c>
      <c r="C72" s="6" t="s">
        <v>245</v>
      </c>
      <c r="E72" s="5" t="s">
        <v>175</v>
      </c>
      <c r="F72" s="6" t="s">
        <v>176</v>
      </c>
      <c r="G72" s="6" t="s">
        <v>177</v>
      </c>
    </row>
    <row r="73" customFormat="false" ht="15" hidden="false" customHeight="false" outlineLevel="0" collapsed="false">
      <c r="A73" s="5" t="s">
        <v>246</v>
      </c>
      <c r="B73" s="6" t="s">
        <v>87</v>
      </c>
      <c r="C73" s="6" t="s">
        <v>247</v>
      </c>
      <c r="E73" s="5" t="s">
        <v>248</v>
      </c>
      <c r="F73" s="6" t="s">
        <v>141</v>
      </c>
      <c r="G73" s="6" t="s">
        <v>249</v>
      </c>
    </row>
    <row r="74" customFormat="false" ht="15" hidden="false" customHeight="false" outlineLevel="0" collapsed="false">
      <c r="A74" s="5" t="s">
        <v>250</v>
      </c>
      <c r="B74" s="6" t="s">
        <v>87</v>
      </c>
      <c r="C74" s="6" t="s">
        <v>251</v>
      </c>
      <c r="E74" s="5" t="s">
        <v>252</v>
      </c>
      <c r="F74" s="6" t="s">
        <v>103</v>
      </c>
      <c r="G74" s="6" t="s">
        <v>253</v>
      </c>
    </row>
    <row r="75" customFormat="false" ht="35.05" hidden="false" customHeight="false" outlineLevel="0" collapsed="false">
      <c r="A75" s="5" t="s">
        <v>254</v>
      </c>
      <c r="B75" s="6" t="s">
        <v>87</v>
      </c>
      <c r="C75" s="6" t="s">
        <v>255</v>
      </c>
      <c r="E75" s="5" t="s">
        <v>256</v>
      </c>
      <c r="F75" s="6" t="s">
        <v>103</v>
      </c>
      <c r="G75" s="6" t="s">
        <v>257</v>
      </c>
    </row>
    <row r="76" customFormat="false" ht="15" hidden="false" customHeight="false" outlineLevel="0" collapsed="false">
      <c r="A76" s="5" t="s">
        <v>258</v>
      </c>
      <c r="B76" s="6" t="s">
        <v>87</v>
      </c>
      <c r="C76" s="6" t="s">
        <v>259</v>
      </c>
    </row>
    <row r="77" customFormat="false" ht="15" hidden="false" customHeight="false" outlineLevel="0" collapsed="false">
      <c r="A77" s="5" t="s">
        <v>260</v>
      </c>
      <c r="B77" s="6" t="s">
        <v>261</v>
      </c>
      <c r="C77" s="6" t="s">
        <v>262</v>
      </c>
    </row>
    <row r="78" customFormat="false" ht="15" hidden="false" customHeight="false" outlineLevel="0" collapsed="false">
      <c r="A78" s="5" t="s">
        <v>263</v>
      </c>
      <c r="B78" s="6" t="s">
        <v>264</v>
      </c>
      <c r="C78" s="6" t="s">
        <v>262</v>
      </c>
    </row>
    <row r="79" customFormat="false" ht="15" hidden="false" customHeight="false" outlineLevel="0" collapsed="false">
      <c r="A79" s="5" t="s">
        <v>265</v>
      </c>
      <c r="B79" s="6" t="s">
        <v>266</v>
      </c>
      <c r="C79" s="6" t="s">
        <v>267</v>
      </c>
    </row>
    <row r="80" customFormat="false" ht="15" hidden="false" customHeight="false" outlineLevel="0" collapsed="false">
      <c r="A80" s="5" t="s">
        <v>268</v>
      </c>
      <c r="B80" s="6" t="s">
        <v>269</v>
      </c>
      <c r="C80" s="6" t="s">
        <v>270</v>
      </c>
    </row>
    <row r="81" customFormat="false" ht="15" hidden="false" customHeight="false" outlineLevel="0" collapsed="false">
      <c r="A81" s="5" t="s">
        <v>271</v>
      </c>
      <c r="B81" s="6" t="s">
        <v>261</v>
      </c>
      <c r="C81" s="6" t="s">
        <v>272</v>
      </c>
    </row>
    <row r="82" customFormat="false" ht="15" hidden="false" customHeight="false" outlineLevel="0" collapsed="false">
      <c r="A82" s="5" t="s">
        <v>273</v>
      </c>
      <c r="B82" s="6" t="s">
        <v>274</v>
      </c>
      <c r="C82" s="6" t="s">
        <v>275</v>
      </c>
    </row>
    <row r="83" customFormat="false" ht="15" hidden="false" customHeight="false" outlineLevel="0" collapsed="false">
      <c r="A83" s="5" t="s">
        <v>276</v>
      </c>
      <c r="B83" s="6" t="s">
        <v>277</v>
      </c>
      <c r="C83" s="6" t="s">
        <v>275</v>
      </c>
    </row>
    <row r="84" customFormat="false" ht="15" hidden="false" customHeight="false" outlineLevel="0" collapsed="false">
      <c r="A84" s="5" t="s">
        <v>278</v>
      </c>
      <c r="B84" s="6" t="s">
        <v>76</v>
      </c>
      <c r="C84" s="6" t="s">
        <v>279</v>
      </c>
    </row>
    <row r="85" customFormat="false" ht="23.85" hidden="false" customHeight="false" outlineLevel="0" collapsed="false">
      <c r="A85" s="5" t="s">
        <v>280</v>
      </c>
      <c r="B85" s="6" t="s">
        <v>281</v>
      </c>
      <c r="C85" s="6" t="s">
        <v>282</v>
      </c>
    </row>
    <row r="87" customFormat="false" ht="21.75" hidden="false" customHeight="true" outlineLevel="0" collapsed="false">
      <c r="A87" s="10" t="s">
        <v>283</v>
      </c>
      <c r="B87" s="10"/>
      <c r="C87" s="10"/>
      <c r="D87" s="10"/>
      <c r="E87" s="10"/>
      <c r="F87" s="10"/>
      <c r="G87" s="10"/>
    </row>
    <row r="88" customFormat="false" ht="15" hidden="false" customHeight="false" outlineLevel="0" collapsed="false">
      <c r="A88" s="11" t="s">
        <v>70</v>
      </c>
      <c r="B88" s="11" t="s">
        <v>71</v>
      </c>
      <c r="C88" s="11" t="s">
        <v>72</v>
      </c>
      <c r="E88" s="11" t="s">
        <v>8</v>
      </c>
      <c r="F88" s="11" t="s">
        <v>73</v>
      </c>
      <c r="G88" s="11" t="s">
        <v>74</v>
      </c>
    </row>
    <row r="89" customFormat="false" ht="15" hidden="false" customHeight="false" outlineLevel="0" collapsed="false">
      <c r="A89" s="5" t="s">
        <v>152</v>
      </c>
      <c r="B89" s="6" t="s">
        <v>87</v>
      </c>
      <c r="C89" s="6" t="s">
        <v>284</v>
      </c>
      <c r="E89" s="5" t="s">
        <v>149</v>
      </c>
      <c r="F89" s="6" t="s">
        <v>150</v>
      </c>
      <c r="G89" s="6" t="s">
        <v>151</v>
      </c>
    </row>
    <row r="90" customFormat="false" ht="15" hidden="false" customHeight="false" outlineLevel="0" collapsed="false">
      <c r="A90" s="5" t="s">
        <v>181</v>
      </c>
      <c r="B90" s="6" t="s">
        <v>76</v>
      </c>
      <c r="C90" s="6" t="s">
        <v>285</v>
      </c>
      <c r="E90" s="5" t="s">
        <v>154</v>
      </c>
      <c r="F90" s="6" t="s">
        <v>155</v>
      </c>
      <c r="G90" s="6" t="s">
        <v>156</v>
      </c>
    </row>
    <row r="91" customFormat="false" ht="23.85" hidden="false" customHeight="false" outlineLevel="0" collapsed="false">
      <c r="A91" s="5" t="s">
        <v>185</v>
      </c>
      <c r="B91" s="6" t="s">
        <v>87</v>
      </c>
      <c r="C91" s="6" t="s">
        <v>286</v>
      </c>
      <c r="E91" s="5" t="s">
        <v>175</v>
      </c>
      <c r="F91" s="6" t="s">
        <v>176</v>
      </c>
      <c r="G91" s="6" t="s">
        <v>177</v>
      </c>
    </row>
    <row r="92" customFormat="false" ht="15" hidden="false" customHeight="false" outlineLevel="0" collapsed="false">
      <c r="A92" s="5" t="s">
        <v>287</v>
      </c>
      <c r="B92" s="6" t="s">
        <v>87</v>
      </c>
      <c r="C92" s="6" t="s">
        <v>288</v>
      </c>
      <c r="E92" s="5" t="s">
        <v>179</v>
      </c>
      <c r="F92" s="6" t="s">
        <v>146</v>
      </c>
      <c r="G92" s="6" t="s">
        <v>180</v>
      </c>
    </row>
    <row r="93" customFormat="false" ht="15" hidden="false" customHeight="false" outlineLevel="0" collapsed="false">
      <c r="A93" s="5" t="s">
        <v>138</v>
      </c>
      <c r="B93" s="6" t="s">
        <v>87</v>
      </c>
      <c r="C93" s="6" t="s">
        <v>288</v>
      </c>
      <c r="E93" s="5" t="s">
        <v>183</v>
      </c>
      <c r="F93" s="6" t="s">
        <v>150</v>
      </c>
      <c r="G93" s="6" t="s">
        <v>184</v>
      </c>
    </row>
    <row r="94" customFormat="false" ht="15" hidden="false" customHeight="false" outlineLevel="0" collapsed="false">
      <c r="A94" s="5" t="s">
        <v>143</v>
      </c>
      <c r="B94" s="6" t="s">
        <v>87</v>
      </c>
      <c r="C94" s="6" t="s">
        <v>288</v>
      </c>
      <c r="E94" s="5" t="s">
        <v>187</v>
      </c>
      <c r="F94" s="6" t="s">
        <v>188</v>
      </c>
      <c r="G94" s="6" t="s">
        <v>189</v>
      </c>
    </row>
    <row r="95" customFormat="false" ht="23.85" hidden="false" customHeight="false" outlineLevel="0" collapsed="false">
      <c r="A95" s="5" t="s">
        <v>246</v>
      </c>
      <c r="B95" s="6" t="s">
        <v>87</v>
      </c>
      <c r="C95" s="6" t="s">
        <v>289</v>
      </c>
      <c r="E95" s="5" t="s">
        <v>192</v>
      </c>
      <c r="F95" s="6" t="s">
        <v>193</v>
      </c>
      <c r="G95" s="6" t="s">
        <v>194</v>
      </c>
    </row>
    <row r="96" customFormat="false" ht="15" hidden="false" customHeight="false" outlineLevel="0" collapsed="false">
      <c r="A96" s="5" t="s">
        <v>290</v>
      </c>
      <c r="B96" s="6" t="s">
        <v>87</v>
      </c>
      <c r="C96" s="6" t="s">
        <v>289</v>
      </c>
      <c r="E96" s="5" t="s">
        <v>197</v>
      </c>
      <c r="F96" s="6" t="s">
        <v>198</v>
      </c>
      <c r="G96" s="6" t="s">
        <v>199</v>
      </c>
    </row>
    <row r="97" customFormat="false" ht="15" hidden="false" customHeight="false" outlineLevel="0" collapsed="false">
      <c r="A97" s="5" t="s">
        <v>291</v>
      </c>
      <c r="B97" s="6" t="s">
        <v>87</v>
      </c>
      <c r="C97" s="6" t="s">
        <v>292</v>
      </c>
      <c r="E97" s="5" t="s">
        <v>293</v>
      </c>
      <c r="F97" s="6" t="s">
        <v>294</v>
      </c>
      <c r="G97" s="6" t="s">
        <v>295</v>
      </c>
    </row>
    <row r="98" customFormat="false" ht="15" hidden="false" customHeight="false" outlineLevel="0" collapsed="false">
      <c r="A98" s="5" t="s">
        <v>190</v>
      </c>
      <c r="B98" s="6" t="s">
        <v>76</v>
      </c>
      <c r="C98" s="6" t="s">
        <v>292</v>
      </c>
      <c r="E98" s="5" t="s">
        <v>205</v>
      </c>
      <c r="F98" s="6" t="s">
        <v>99</v>
      </c>
      <c r="G98" s="6" t="s">
        <v>206</v>
      </c>
    </row>
    <row r="99" customFormat="false" ht="15" hidden="false" customHeight="false" outlineLevel="0" collapsed="false">
      <c r="A99" s="5" t="s">
        <v>236</v>
      </c>
      <c r="B99" s="6" t="s">
        <v>237</v>
      </c>
      <c r="C99" s="6" t="s">
        <v>296</v>
      </c>
      <c r="E99" s="5" t="s">
        <v>212</v>
      </c>
      <c r="F99" s="6" t="s">
        <v>213</v>
      </c>
      <c r="G99" s="6" t="s">
        <v>214</v>
      </c>
    </row>
    <row r="100" customFormat="false" ht="15" hidden="false" customHeight="false" outlineLevel="0" collapsed="false">
      <c r="A100" s="5" t="s">
        <v>224</v>
      </c>
      <c r="B100" s="6" t="s">
        <v>87</v>
      </c>
      <c r="C100" s="6" t="s">
        <v>296</v>
      </c>
      <c r="E100" s="5" t="s">
        <v>215</v>
      </c>
      <c r="F100" s="6" t="s">
        <v>103</v>
      </c>
      <c r="G100" s="6" t="s">
        <v>216</v>
      </c>
    </row>
    <row r="101" customFormat="false" ht="15" hidden="false" customHeight="false" outlineLevel="0" collapsed="false">
      <c r="E101" s="5" t="s">
        <v>297</v>
      </c>
      <c r="F101" s="6" t="s">
        <v>298</v>
      </c>
      <c r="G101" s="6" t="s">
        <v>299</v>
      </c>
    </row>
    <row r="102" customFormat="false" ht="15" hidden="false" customHeight="false" outlineLevel="0" collapsed="false">
      <c r="E102" s="5" t="s">
        <v>300</v>
      </c>
      <c r="F102" s="6" t="s">
        <v>298</v>
      </c>
      <c r="G102" s="6" t="s">
        <v>301</v>
      </c>
    </row>
    <row r="104" customFormat="false" ht="21.75" hidden="false" customHeight="true" outlineLevel="0" collapsed="false">
      <c r="A104" s="10" t="s">
        <v>302</v>
      </c>
      <c r="B104" s="10"/>
      <c r="C104" s="10"/>
      <c r="D104" s="10"/>
      <c r="E104" s="10"/>
      <c r="F104" s="10"/>
      <c r="G104" s="10"/>
    </row>
    <row r="105" customFormat="false" ht="15" hidden="false" customHeight="false" outlineLevel="0" collapsed="false">
      <c r="A105" s="11" t="s">
        <v>70</v>
      </c>
      <c r="B105" s="11" t="s">
        <v>71</v>
      </c>
      <c r="C105" s="11" t="s">
        <v>72</v>
      </c>
      <c r="E105" s="11" t="s">
        <v>8</v>
      </c>
      <c r="F105" s="11" t="s">
        <v>73</v>
      </c>
      <c r="G105" s="11" t="s">
        <v>74</v>
      </c>
    </row>
    <row r="106" customFormat="false" ht="23.85" hidden="false" customHeight="false" outlineLevel="0" collapsed="false">
      <c r="A106" s="5" t="s">
        <v>190</v>
      </c>
      <c r="B106" s="6" t="s">
        <v>76</v>
      </c>
      <c r="C106" s="6" t="s">
        <v>303</v>
      </c>
      <c r="E106" s="5" t="s">
        <v>175</v>
      </c>
      <c r="F106" s="6" t="s">
        <v>176</v>
      </c>
      <c r="G106" s="6" t="s">
        <v>177</v>
      </c>
    </row>
    <row r="107" customFormat="false" ht="15" hidden="false" customHeight="false" outlineLevel="0" collapsed="false">
      <c r="A107" s="5" t="s">
        <v>181</v>
      </c>
      <c r="B107" s="6" t="s">
        <v>76</v>
      </c>
      <c r="C107" s="6" t="s">
        <v>304</v>
      </c>
      <c r="E107" s="5" t="s">
        <v>293</v>
      </c>
      <c r="F107" s="6" t="s">
        <v>294</v>
      </c>
      <c r="G107" s="6" t="s">
        <v>295</v>
      </c>
    </row>
    <row r="108" customFormat="false" ht="15" hidden="false" customHeight="false" outlineLevel="0" collapsed="false">
      <c r="A108" s="5" t="s">
        <v>236</v>
      </c>
      <c r="B108" s="6" t="s">
        <v>237</v>
      </c>
      <c r="C108" s="6" t="s">
        <v>303</v>
      </c>
      <c r="E108" s="5" t="s">
        <v>305</v>
      </c>
      <c r="F108" s="6" t="s">
        <v>306</v>
      </c>
      <c r="G108" s="6" t="s">
        <v>307</v>
      </c>
    </row>
    <row r="109" customFormat="false" ht="15" hidden="false" customHeight="false" outlineLevel="0" collapsed="false">
      <c r="A109" s="5" t="s">
        <v>308</v>
      </c>
      <c r="B109" s="6" t="s">
        <v>76</v>
      </c>
      <c r="C109" s="6" t="s">
        <v>309</v>
      </c>
      <c r="E109" s="5" t="s">
        <v>310</v>
      </c>
      <c r="F109" s="6" t="s">
        <v>311</v>
      </c>
      <c r="G109" s="6" t="s">
        <v>312</v>
      </c>
    </row>
    <row r="110" customFormat="false" ht="15" hidden="false" customHeight="false" outlineLevel="0" collapsed="false">
      <c r="A110" s="5" t="s">
        <v>313</v>
      </c>
      <c r="B110" s="6" t="s">
        <v>76</v>
      </c>
      <c r="C110" s="6" t="s">
        <v>314</v>
      </c>
      <c r="E110" s="5" t="s">
        <v>297</v>
      </c>
      <c r="F110" s="6" t="s">
        <v>298</v>
      </c>
      <c r="G110" s="6" t="s">
        <v>299</v>
      </c>
    </row>
    <row r="111" customFormat="false" ht="35.05" hidden="false" customHeight="false" outlineLevel="0" collapsed="false">
      <c r="A111" s="5" t="s">
        <v>315</v>
      </c>
      <c r="B111" s="6" t="s">
        <v>76</v>
      </c>
      <c r="C111" s="6" t="s">
        <v>314</v>
      </c>
      <c r="E111" s="5" t="s">
        <v>316</v>
      </c>
      <c r="F111" s="6" t="s">
        <v>298</v>
      </c>
      <c r="G111" s="6" t="s">
        <v>317</v>
      </c>
    </row>
    <row r="112" customFormat="false" ht="15" hidden="false" customHeight="false" outlineLevel="0" collapsed="false">
      <c r="E112" s="5" t="s">
        <v>300</v>
      </c>
      <c r="F112" s="6" t="s">
        <v>298</v>
      </c>
      <c r="G112" s="6" t="s">
        <v>301</v>
      </c>
    </row>
  </sheetData>
  <mergeCells count="7">
    <mergeCell ref="A4:G4"/>
    <mergeCell ref="A28:G28"/>
    <mergeCell ref="A41:G41"/>
    <mergeCell ref="A58:G58"/>
    <mergeCell ref="A70:G70"/>
    <mergeCell ref="A87:G87"/>
    <mergeCell ref="A104:G10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4"/>
    <col collapsed="false" customWidth="true" hidden="false" outlineLevel="0" max="3" min="3" style="0" width="62"/>
  </cols>
  <sheetData>
    <row r="1" customFormat="false" ht="17.35" hidden="false" customHeight="false" outlineLevel="0" collapsed="false">
      <c r="A1" s="1" t="s">
        <v>318</v>
      </c>
    </row>
    <row r="2" customFormat="false" ht="15" hidden="false" customHeight="false" outlineLevel="0" collapsed="false">
      <c r="A2" s="2" t="s">
        <v>319</v>
      </c>
    </row>
    <row r="4" customFormat="false" ht="15" hidden="false" customHeight="false" outlineLevel="0" collapsed="false">
      <c r="A4" s="12" t="s">
        <v>320</v>
      </c>
    </row>
    <row r="5" customFormat="false" ht="15" hidden="false" customHeight="false" outlineLevel="0" collapsed="false">
      <c r="A5" s="2" t="s">
        <v>321</v>
      </c>
    </row>
    <row r="6" customFormat="false" ht="15" hidden="false" customHeight="false" outlineLevel="0" collapsed="false">
      <c r="A6" s="3" t="s">
        <v>322</v>
      </c>
      <c r="B6" s="3" t="s">
        <v>323</v>
      </c>
      <c r="C6" s="3" t="s">
        <v>324</v>
      </c>
    </row>
    <row r="7" customFormat="false" ht="15" hidden="false" customHeight="false" outlineLevel="0" collapsed="false">
      <c r="A7" s="13" t="s">
        <v>325</v>
      </c>
      <c r="B7" s="14" t="n">
        <v>0.2</v>
      </c>
      <c r="C7" s="13" t="s">
        <v>326</v>
      </c>
    </row>
    <row r="8" customFormat="false" ht="15" hidden="false" customHeight="false" outlineLevel="0" collapsed="false">
      <c r="A8" s="13" t="s">
        <v>327</v>
      </c>
      <c r="B8" s="14" t="n">
        <v>0.12</v>
      </c>
      <c r="C8" s="13" t="s">
        <v>326</v>
      </c>
    </row>
    <row r="9" customFormat="false" ht="15" hidden="false" customHeight="false" outlineLevel="0" collapsed="false">
      <c r="A9" s="13" t="s">
        <v>328</v>
      </c>
      <c r="B9" s="14" t="n">
        <v>0.12</v>
      </c>
      <c r="C9" s="13" t="s">
        <v>326</v>
      </c>
    </row>
    <row r="10" customFormat="false" ht="15" hidden="false" customHeight="false" outlineLevel="0" collapsed="false">
      <c r="A10" s="13" t="s">
        <v>329</v>
      </c>
      <c r="B10" s="14" t="n">
        <v>0.1</v>
      </c>
      <c r="C10" s="13" t="s">
        <v>326</v>
      </c>
    </row>
    <row r="11" customFormat="false" ht="15" hidden="false" customHeight="false" outlineLevel="0" collapsed="false">
      <c r="A11" s="15" t="s">
        <v>330</v>
      </c>
      <c r="B11" s="16" t="n">
        <f aca="false">1-SUM(B7:B10)</f>
        <v>0.46</v>
      </c>
      <c r="C11" s="13" t="s">
        <v>331</v>
      </c>
    </row>
    <row r="22" customFormat="false" ht="15" hidden="false" customHeight="false" outlineLevel="0" collapsed="false">
      <c r="A22" s="12" t="s">
        <v>332</v>
      </c>
    </row>
    <row r="23" customFormat="false" ht="15" hidden="false" customHeight="false" outlineLevel="0" collapsed="false">
      <c r="A23" s="2" t="s">
        <v>333</v>
      </c>
    </row>
    <row r="24" customFormat="false" ht="15" hidden="false" customHeight="false" outlineLevel="0" collapsed="false">
      <c r="A24" s="3" t="s">
        <v>322</v>
      </c>
      <c r="B24" s="3" t="s">
        <v>323</v>
      </c>
      <c r="C24" s="3" t="s">
        <v>324</v>
      </c>
    </row>
    <row r="25" customFormat="false" ht="15" hidden="false" customHeight="false" outlineLevel="0" collapsed="false">
      <c r="A25" s="13" t="s">
        <v>329</v>
      </c>
      <c r="B25" s="14" t="n">
        <v>0.13</v>
      </c>
      <c r="C25" s="13" t="s">
        <v>334</v>
      </c>
    </row>
    <row r="26" customFormat="false" ht="15" hidden="false" customHeight="false" outlineLevel="0" collapsed="false">
      <c r="A26" s="13" t="s">
        <v>335</v>
      </c>
      <c r="B26" s="14" t="n">
        <v>0.1</v>
      </c>
      <c r="C26" s="13" t="s">
        <v>334</v>
      </c>
    </row>
    <row r="27" customFormat="false" ht="15" hidden="false" customHeight="false" outlineLevel="0" collapsed="false">
      <c r="A27" s="13" t="s">
        <v>336</v>
      </c>
      <c r="B27" s="14" t="n">
        <v>0.09</v>
      </c>
      <c r="C27" s="13" t="s">
        <v>334</v>
      </c>
    </row>
    <row r="28" customFormat="false" ht="15" hidden="false" customHeight="false" outlineLevel="0" collapsed="false">
      <c r="A28" s="13" t="s">
        <v>337</v>
      </c>
      <c r="B28" s="14" t="n">
        <v>0.06</v>
      </c>
      <c r="C28" s="13" t="s">
        <v>334</v>
      </c>
    </row>
    <row r="29" customFormat="false" ht="15" hidden="false" customHeight="false" outlineLevel="0" collapsed="false">
      <c r="A29" s="13" t="s">
        <v>325</v>
      </c>
      <c r="B29" s="14" t="n">
        <v>0.06</v>
      </c>
      <c r="C29" s="13" t="s">
        <v>334</v>
      </c>
    </row>
    <row r="30" customFormat="false" ht="15" hidden="false" customHeight="false" outlineLevel="0" collapsed="false">
      <c r="A30" s="13" t="s">
        <v>327</v>
      </c>
      <c r="B30" s="14" t="n">
        <v>0.06</v>
      </c>
      <c r="C30" s="13" t="s">
        <v>334</v>
      </c>
    </row>
    <row r="31" customFormat="false" ht="15" hidden="false" customHeight="false" outlineLevel="0" collapsed="false">
      <c r="A31" s="13" t="s">
        <v>338</v>
      </c>
      <c r="B31" s="14" t="n">
        <v>0.05</v>
      </c>
      <c r="C31" s="13" t="s">
        <v>334</v>
      </c>
    </row>
    <row r="32" customFormat="false" ht="15" hidden="false" customHeight="false" outlineLevel="0" collapsed="false">
      <c r="A32" s="13" t="s">
        <v>339</v>
      </c>
      <c r="B32" s="14" t="n">
        <v>0.05</v>
      </c>
      <c r="C32" s="13" t="s">
        <v>334</v>
      </c>
    </row>
    <row r="33" customFormat="false" ht="15" hidden="false" customHeight="false" outlineLevel="0" collapsed="false">
      <c r="A33" s="13" t="s">
        <v>340</v>
      </c>
      <c r="B33" s="14" t="n">
        <v>0.04</v>
      </c>
      <c r="C33" s="13" t="s">
        <v>334</v>
      </c>
    </row>
    <row r="34" customFormat="false" ht="15" hidden="false" customHeight="false" outlineLevel="0" collapsed="false">
      <c r="A34" s="13" t="s">
        <v>341</v>
      </c>
      <c r="B34" s="14" t="n">
        <v>0.04</v>
      </c>
      <c r="C34" s="13" t="s">
        <v>334</v>
      </c>
    </row>
    <row r="35" customFormat="false" ht="15" hidden="false" customHeight="false" outlineLevel="0" collapsed="false">
      <c r="A35" s="15" t="s">
        <v>330</v>
      </c>
      <c r="B35" s="16" t="n">
        <f aca="false">1-SUM(B25:B34)</f>
        <v>0.32</v>
      </c>
      <c r="C35" s="13" t="s">
        <v>331</v>
      </c>
    </row>
    <row r="42" customFormat="false" ht="15" hidden="false" customHeight="false" outlineLevel="0" collapsed="false">
      <c r="A42" s="12" t="s">
        <v>342</v>
      </c>
    </row>
    <row r="43" customFormat="false" ht="15" hidden="false" customHeight="false" outlineLevel="0" collapsed="false">
      <c r="A43" s="2" t="s">
        <v>343</v>
      </c>
    </row>
    <row r="44" customFormat="false" ht="15" hidden="false" customHeight="false" outlineLevel="0" collapsed="false">
      <c r="A44" s="3" t="s">
        <v>322</v>
      </c>
      <c r="B44" s="3" t="s">
        <v>323</v>
      </c>
      <c r="C44" s="3" t="s">
        <v>324</v>
      </c>
    </row>
    <row r="45" customFormat="false" ht="15" hidden="false" customHeight="false" outlineLevel="0" collapsed="false">
      <c r="A45" s="13" t="s">
        <v>325</v>
      </c>
      <c r="B45" s="14" t="n">
        <v>0.135</v>
      </c>
      <c r="C45" s="13" t="s">
        <v>344</v>
      </c>
    </row>
    <row r="46" customFormat="false" ht="15" hidden="false" customHeight="false" outlineLevel="0" collapsed="false">
      <c r="A46" s="13" t="s">
        <v>345</v>
      </c>
      <c r="B46" s="14" t="n">
        <v>0.34</v>
      </c>
      <c r="C46" s="13" t="s">
        <v>344</v>
      </c>
    </row>
    <row r="47" customFormat="false" ht="15" hidden="false" customHeight="false" outlineLevel="0" collapsed="false">
      <c r="A47" s="15" t="s">
        <v>330</v>
      </c>
      <c r="B47" s="16" t="n">
        <f aca="false">1-SUM(B45:B46)</f>
        <v>0.525</v>
      </c>
      <c r="C47" s="13" t="s">
        <v>331</v>
      </c>
    </row>
    <row r="60" customFormat="false" ht="15" hidden="false" customHeight="false" outlineLevel="0" collapsed="false">
      <c r="A60" s="12" t="s">
        <v>346</v>
      </c>
    </row>
    <row r="61" customFormat="false" ht="15" hidden="false" customHeight="false" outlineLevel="0" collapsed="false">
      <c r="A61" s="2" t="s">
        <v>347</v>
      </c>
    </row>
    <row r="62" customFormat="false" ht="15" hidden="false" customHeight="false" outlineLevel="0" collapsed="false">
      <c r="A62" s="3" t="s">
        <v>322</v>
      </c>
      <c r="B62" s="3" t="s">
        <v>323</v>
      </c>
      <c r="C62" s="3" t="s">
        <v>324</v>
      </c>
    </row>
    <row r="63" customFormat="false" ht="15" hidden="false" customHeight="false" outlineLevel="0" collapsed="false">
      <c r="A63" s="13" t="s">
        <v>348</v>
      </c>
      <c r="B63" s="14" t="n">
        <v>0.2458</v>
      </c>
      <c r="C63" s="13" t="s">
        <v>349</v>
      </c>
    </row>
    <row r="64" customFormat="false" ht="15" hidden="false" customHeight="false" outlineLevel="0" collapsed="false">
      <c r="A64" s="15" t="s">
        <v>330</v>
      </c>
      <c r="B64" s="16" t="n">
        <f aca="false">1-SUM(B63:B63)</f>
        <v>0.7542</v>
      </c>
      <c r="C64" s="13" t="s">
        <v>331</v>
      </c>
    </row>
    <row r="65" customFormat="false" ht="15" hidden="false" customHeight="false" outlineLevel="0" collapsed="false">
      <c r="A65" s="2" t="s">
        <v>350</v>
      </c>
    </row>
    <row r="66" customFormat="false" ht="15" hidden="false" customHeight="false" outlineLevel="0" collapsed="false">
      <c r="A66" s="12" t="s">
        <v>351</v>
      </c>
    </row>
    <row r="67" customFormat="false" ht="15" hidden="false" customHeight="false" outlineLevel="0" collapsed="false">
      <c r="A67" s="3" t="s">
        <v>352</v>
      </c>
      <c r="B67" s="3" t="s">
        <v>322</v>
      </c>
      <c r="C67" s="3" t="s">
        <v>324</v>
      </c>
    </row>
    <row r="68" customFormat="false" ht="15" hidden="false" customHeight="false" outlineLevel="0" collapsed="false">
      <c r="A68" s="13" t="n">
        <v>1</v>
      </c>
      <c r="B68" s="13" t="s">
        <v>336</v>
      </c>
      <c r="C68" s="13" t="s">
        <v>353</v>
      </c>
    </row>
    <row r="69" customFormat="false" ht="15" hidden="false" customHeight="false" outlineLevel="0" collapsed="false">
      <c r="A69" s="13" t="n">
        <v>2</v>
      </c>
      <c r="B69" s="13" t="s">
        <v>354</v>
      </c>
      <c r="C69" s="13" t="s">
        <v>353</v>
      </c>
    </row>
    <row r="70" customFormat="false" ht="15" hidden="false" customHeight="false" outlineLevel="0" collapsed="false">
      <c r="A70" s="13" t="n">
        <v>3</v>
      </c>
      <c r="B70" s="13" t="s">
        <v>355</v>
      </c>
      <c r="C70" s="13" t="s">
        <v>353</v>
      </c>
    </row>
    <row r="71" customFormat="false" ht="15" hidden="false" customHeight="false" outlineLevel="0" collapsed="false">
      <c r="A71" s="13" t="n">
        <v>4</v>
      </c>
      <c r="B71" s="13" t="s">
        <v>356</v>
      </c>
      <c r="C71" s="13" t="s">
        <v>353</v>
      </c>
    </row>
    <row r="72" customFormat="false" ht="15" hidden="false" customHeight="false" outlineLevel="0" collapsed="false">
      <c r="A72" s="13" t="n">
        <v>5</v>
      </c>
      <c r="B72" s="13" t="s">
        <v>357</v>
      </c>
      <c r="C72" s="13" t="s">
        <v>353</v>
      </c>
    </row>
    <row r="73" customFormat="false" ht="15" hidden="false" customHeight="false" outlineLevel="0" collapsed="false">
      <c r="A73" s="13" t="n">
        <v>6</v>
      </c>
      <c r="B73" s="13" t="s">
        <v>358</v>
      </c>
      <c r="C73" s="13" t="s">
        <v>353</v>
      </c>
    </row>
    <row r="74" customFormat="false" ht="15" hidden="false" customHeight="false" outlineLevel="0" collapsed="false">
      <c r="A74" s="13" t="n">
        <v>7</v>
      </c>
      <c r="B74" s="13" t="s">
        <v>359</v>
      </c>
      <c r="C74" s="13" t="s">
        <v>353</v>
      </c>
    </row>
    <row r="75" customFormat="false" ht="15" hidden="false" customHeight="false" outlineLevel="0" collapsed="false">
      <c r="A75" s="13" t="n">
        <v>8</v>
      </c>
      <c r="B75" s="13" t="s">
        <v>360</v>
      </c>
      <c r="C75" s="13" t="s">
        <v>353</v>
      </c>
    </row>
    <row r="76" customFormat="false" ht="15" hidden="false" customHeight="false" outlineLevel="0" collapsed="false">
      <c r="A76" s="13" t="n">
        <v>9</v>
      </c>
      <c r="B76" s="13" t="s">
        <v>361</v>
      </c>
      <c r="C76" s="13" t="s">
        <v>353</v>
      </c>
    </row>
    <row r="77" customFormat="false" ht="15" hidden="false" customHeight="false" outlineLevel="0" collapsed="false">
      <c r="A77" s="13" t="n">
        <v>10</v>
      </c>
      <c r="B77" s="13" t="s">
        <v>362</v>
      </c>
      <c r="C77" s="13" t="s">
        <v>353</v>
      </c>
    </row>
    <row r="80" customFormat="false" ht="15" hidden="false" customHeight="false" outlineLevel="0" collapsed="false">
      <c r="A80" s="12" t="s">
        <v>363</v>
      </c>
    </row>
    <row r="81" customFormat="false" ht="15" hidden="false" customHeight="false" outlineLevel="0" collapsed="false">
      <c r="A81" s="2" t="s">
        <v>364</v>
      </c>
    </row>
    <row r="82" customFormat="false" ht="15" hidden="false" customHeight="false" outlineLevel="0" collapsed="false">
      <c r="A82" s="3" t="s">
        <v>71</v>
      </c>
      <c r="B82" s="3" t="s">
        <v>323</v>
      </c>
      <c r="C82" s="3" t="s">
        <v>365</v>
      </c>
    </row>
    <row r="83" customFormat="false" ht="15" hidden="false" customHeight="false" outlineLevel="0" collapsed="false">
      <c r="A83" s="13" t="s">
        <v>96</v>
      </c>
      <c r="B83" s="17" t="n">
        <f aca="false">C83/$C$92</f>
        <v>0.317241379310345</v>
      </c>
      <c r="C83" s="18" t="n">
        <v>92000</v>
      </c>
    </row>
    <row r="84" customFormat="false" ht="15" hidden="false" customHeight="false" outlineLevel="0" collapsed="false">
      <c r="A84" s="13" t="s">
        <v>87</v>
      </c>
      <c r="B84" s="17" t="n">
        <f aca="false">C84/$C$92</f>
        <v>0.213793103448276</v>
      </c>
      <c r="C84" s="18" t="n">
        <v>62000</v>
      </c>
    </row>
    <row r="85" customFormat="false" ht="15" hidden="false" customHeight="false" outlineLevel="0" collapsed="false">
      <c r="A85" s="13" t="s">
        <v>82</v>
      </c>
      <c r="B85" s="17" t="n">
        <f aca="false">C85/$C$92</f>
        <v>0.193103448275862</v>
      </c>
      <c r="C85" s="18" t="n">
        <v>56000</v>
      </c>
    </row>
    <row r="86" customFormat="false" ht="15" hidden="false" customHeight="false" outlineLevel="0" collapsed="false">
      <c r="A86" s="13" t="s">
        <v>366</v>
      </c>
      <c r="B86" s="17" t="n">
        <f aca="false">C86/$C$92</f>
        <v>0.096551724137931</v>
      </c>
      <c r="C86" s="18" t="n">
        <v>28000</v>
      </c>
    </row>
    <row r="87" customFormat="false" ht="15" hidden="false" customHeight="false" outlineLevel="0" collapsed="false">
      <c r="A87" s="13" t="s">
        <v>367</v>
      </c>
      <c r="B87" s="17" t="n">
        <f aca="false">C87/$C$92</f>
        <v>0.0793103448275862</v>
      </c>
      <c r="C87" s="18" t="n">
        <v>23000</v>
      </c>
    </row>
    <row r="88" customFormat="false" ht="15" hidden="false" customHeight="false" outlineLevel="0" collapsed="false">
      <c r="A88" s="13" t="s">
        <v>368</v>
      </c>
      <c r="B88" s="17" t="n">
        <f aca="false">C88/$C$92</f>
        <v>0.0413793103448276</v>
      </c>
      <c r="C88" s="18" t="n">
        <v>12000</v>
      </c>
    </row>
    <row r="89" customFormat="false" ht="15" hidden="false" customHeight="false" outlineLevel="0" collapsed="false">
      <c r="A89" s="13" t="s">
        <v>369</v>
      </c>
      <c r="B89" s="17" t="n">
        <f aca="false">C89/$C$92</f>
        <v>0.0324137931034483</v>
      </c>
      <c r="C89" s="18" t="n">
        <v>9400</v>
      </c>
    </row>
    <row r="90" customFormat="false" ht="15" hidden="false" customHeight="false" outlineLevel="0" collapsed="false">
      <c r="A90" s="13" t="s">
        <v>370</v>
      </c>
      <c r="B90" s="17" t="n">
        <f aca="false">C90/$C$92</f>
        <v>0.0193103448275862</v>
      </c>
      <c r="C90" s="18" t="n">
        <v>5600</v>
      </c>
    </row>
    <row r="91" customFormat="false" ht="15" hidden="false" customHeight="false" outlineLevel="0" collapsed="false">
      <c r="A91" s="13" t="s">
        <v>330</v>
      </c>
      <c r="B91" s="17" t="n">
        <f aca="false">C91/$C$92</f>
        <v>0.00689655172413793</v>
      </c>
      <c r="C91" s="19" t="n">
        <f aca="false">C92-SUM(C83:C90)</f>
        <v>2000</v>
      </c>
    </row>
    <row r="92" customFormat="false" ht="15" hidden="false" customHeight="false" outlineLevel="0" collapsed="false">
      <c r="A92" s="15" t="s">
        <v>371</v>
      </c>
      <c r="B92" s="20"/>
      <c r="C92" s="21" t="n">
        <v>290000</v>
      </c>
    </row>
    <row r="98" customFormat="false" ht="15" hidden="false" customHeight="false" outlineLevel="0" collapsed="false">
      <c r="A98" s="12" t="s">
        <v>372</v>
      </c>
    </row>
    <row r="100" customFormat="false" ht="15" hidden="false" customHeight="false" outlineLevel="0" collapsed="false">
      <c r="A100" s="3" t="s">
        <v>373</v>
      </c>
      <c r="B100" s="3" t="s">
        <v>374</v>
      </c>
      <c r="C100" s="3" t="s">
        <v>324</v>
      </c>
    </row>
    <row r="101" customFormat="false" ht="15" hidden="false" customHeight="false" outlineLevel="0" collapsed="false">
      <c r="A101" s="13" t="s">
        <v>375</v>
      </c>
      <c r="B101" s="22" t="n">
        <v>0.9</v>
      </c>
      <c r="C101" s="13" t="s">
        <v>376</v>
      </c>
    </row>
    <row r="102" customFormat="false" ht="15" hidden="false" customHeight="false" outlineLevel="0" collapsed="false">
      <c r="A102" s="13" t="s">
        <v>377</v>
      </c>
      <c r="B102" s="22" t="n">
        <v>0.85</v>
      </c>
      <c r="C102" s="13" t="s">
        <v>378</v>
      </c>
    </row>
    <row r="103" customFormat="false" ht="15" hidden="false" customHeight="false" outlineLevel="0" collapsed="false">
      <c r="A103" s="13" t="s">
        <v>379</v>
      </c>
      <c r="B103" s="22" t="n">
        <v>0.82</v>
      </c>
      <c r="C103" s="13" t="s">
        <v>378</v>
      </c>
    </row>
    <row r="104" customFormat="false" ht="15" hidden="false" customHeight="false" outlineLevel="0" collapsed="false">
      <c r="A104" s="13" t="s">
        <v>380</v>
      </c>
      <c r="B104" s="22" t="n">
        <v>0.74</v>
      </c>
      <c r="C104" s="13" t="s">
        <v>378</v>
      </c>
    </row>
    <row r="105" customFormat="false" ht="15" hidden="false" customHeight="false" outlineLevel="0" collapsed="false">
      <c r="A105" s="13" t="s">
        <v>381</v>
      </c>
      <c r="B105" s="22" t="n">
        <v>0.7</v>
      </c>
      <c r="C105" s="13" t="s">
        <v>378</v>
      </c>
    </row>
    <row r="106" customFormat="false" ht="15" hidden="false" customHeight="false" outlineLevel="0" collapsed="false">
      <c r="A106" s="13" t="s">
        <v>382</v>
      </c>
      <c r="B106" s="22" t="n">
        <v>0.85</v>
      </c>
      <c r="C106" s="13" t="s">
        <v>383</v>
      </c>
    </row>
    <row r="116" customFormat="false" ht="15" hidden="false" customHeight="false" outlineLevel="0" collapsed="false">
      <c r="A116" s="12" t="s">
        <v>384</v>
      </c>
    </row>
    <row r="117" customFormat="false" ht="15" hidden="false" customHeight="false" outlineLevel="0" collapsed="false">
      <c r="A117" s="2" t="s">
        <v>385</v>
      </c>
    </row>
    <row r="118" customFormat="false" ht="15" hidden="false" customHeight="false" outlineLevel="0" collapsed="false">
      <c r="A118" s="3" t="s">
        <v>386</v>
      </c>
      <c r="B118" s="3" t="s">
        <v>323</v>
      </c>
      <c r="C118" s="3" t="s">
        <v>387</v>
      </c>
    </row>
    <row r="119" customFormat="false" ht="15" hidden="false" customHeight="false" outlineLevel="0" collapsed="false">
      <c r="A119" s="13" t="s">
        <v>388</v>
      </c>
      <c r="B119" s="17" t="n">
        <f aca="false">C119/$C$125</f>
        <v>0.22969696969697</v>
      </c>
      <c r="C119" s="18" t="n">
        <v>1137000</v>
      </c>
    </row>
    <row r="120" customFormat="false" ht="15" hidden="false" customHeight="false" outlineLevel="0" collapsed="false">
      <c r="A120" s="13" t="s">
        <v>389</v>
      </c>
      <c r="B120" s="17" t="n">
        <f aca="false">C120/$C$125</f>
        <v>0.0757575757575758</v>
      </c>
      <c r="C120" s="18" t="n">
        <v>375000</v>
      </c>
    </row>
    <row r="121" customFormat="false" ht="15" hidden="false" customHeight="false" outlineLevel="0" collapsed="false">
      <c r="A121" s="13" t="s">
        <v>390</v>
      </c>
      <c r="B121" s="17" t="n">
        <f aca="false">C121/$C$125</f>
        <v>0.0565656565656566</v>
      </c>
      <c r="C121" s="18" t="n">
        <v>280000</v>
      </c>
    </row>
    <row r="122" customFormat="false" ht="15" hidden="false" customHeight="false" outlineLevel="0" collapsed="false">
      <c r="A122" s="13" t="s">
        <v>391</v>
      </c>
      <c r="B122" s="17" t="n">
        <f aca="false">C122/$C$125</f>
        <v>0.0434343434343434</v>
      </c>
      <c r="C122" s="18" t="n">
        <v>215000</v>
      </c>
    </row>
    <row r="123" customFormat="false" ht="15" hidden="false" customHeight="false" outlineLevel="0" collapsed="false">
      <c r="A123" s="13" t="s">
        <v>392</v>
      </c>
      <c r="B123" s="17" t="n">
        <f aca="false">C123/$C$125</f>
        <v>0.0409090909090909</v>
      </c>
      <c r="C123" s="18" t="n">
        <v>202500</v>
      </c>
    </row>
    <row r="124" customFormat="false" ht="15" hidden="false" customHeight="false" outlineLevel="0" collapsed="false">
      <c r="A124" s="13" t="s">
        <v>393</v>
      </c>
      <c r="B124" s="17" t="n">
        <f aca="false">C124/$C$125</f>
        <v>0.0404040404040404</v>
      </c>
      <c r="C124" s="18" t="n">
        <v>200000</v>
      </c>
    </row>
    <row r="125" customFormat="false" ht="15" hidden="false" customHeight="false" outlineLevel="0" collapsed="false">
      <c r="A125" s="15" t="s">
        <v>394</v>
      </c>
      <c r="B125" s="20"/>
      <c r="C125" s="21" t="n">
        <v>4950000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0"/>
    <col collapsed="false" customWidth="true" hidden="false" outlineLevel="0" max="3" min="3" style="0" width="46"/>
    <col collapsed="false" customWidth="true" hidden="false" outlineLevel="0" max="4" min="4" style="0" width="24"/>
    <col collapsed="false" customWidth="true" hidden="false" outlineLevel="0" max="5" min="5" style="0" width="40"/>
    <col collapsed="false" customWidth="true" hidden="false" outlineLevel="0" max="6" min="6" style="0" width="30"/>
    <col collapsed="false" customWidth="true" hidden="false" outlineLevel="0" max="8" min="7" style="0" width="60"/>
  </cols>
  <sheetData>
    <row r="1" customFormat="false" ht="17.35" hidden="false" customHeight="false" outlineLevel="0" collapsed="false">
      <c r="A1" s="1" t="s">
        <v>395</v>
      </c>
    </row>
    <row r="3" customFormat="false" ht="15" hidden="false" customHeight="false" outlineLevel="0" collapsed="false">
      <c r="A3" s="3" t="s">
        <v>322</v>
      </c>
      <c r="B3" s="3" t="s">
        <v>396</v>
      </c>
      <c r="C3" s="3" t="s">
        <v>397</v>
      </c>
      <c r="D3" s="3" t="s">
        <v>73</v>
      </c>
      <c r="E3" s="3" t="s">
        <v>398</v>
      </c>
      <c r="F3" s="3" t="s">
        <v>324</v>
      </c>
      <c r="G3" s="3" t="s">
        <v>399</v>
      </c>
      <c r="H3" s="3" t="s">
        <v>400</v>
      </c>
    </row>
    <row r="4" customFormat="false" ht="23.85" hidden="false" customHeight="false" outlineLevel="0" collapsed="false">
      <c r="A4" s="5" t="s">
        <v>401</v>
      </c>
      <c r="B4" s="6" t="s">
        <v>402</v>
      </c>
      <c r="C4" s="6" t="s">
        <v>403</v>
      </c>
      <c r="D4" s="6" t="s">
        <v>79</v>
      </c>
      <c r="E4" s="6" t="s">
        <v>80</v>
      </c>
      <c r="F4" s="6" t="s">
        <v>404</v>
      </c>
      <c r="G4" s="23" t="s">
        <v>405</v>
      </c>
      <c r="H4" s="23" t="s">
        <v>406</v>
      </c>
    </row>
    <row r="5" customFormat="false" ht="15" hidden="false" customHeight="false" outlineLevel="0" collapsed="false">
      <c r="A5" s="8" t="s">
        <v>407</v>
      </c>
      <c r="B5" s="9" t="s">
        <v>402</v>
      </c>
      <c r="C5" s="9" t="s">
        <v>408</v>
      </c>
      <c r="D5" s="9" t="s">
        <v>84</v>
      </c>
      <c r="E5" s="9" t="s">
        <v>85</v>
      </c>
      <c r="F5" s="9" t="s">
        <v>409</v>
      </c>
      <c r="G5" s="24" t="s">
        <v>405</v>
      </c>
      <c r="H5" s="24" t="s">
        <v>410</v>
      </c>
    </row>
    <row r="6" customFormat="false" ht="23.85" hidden="false" customHeight="false" outlineLevel="0" collapsed="false">
      <c r="A6" s="5" t="s">
        <v>411</v>
      </c>
      <c r="B6" s="6" t="s">
        <v>402</v>
      </c>
      <c r="C6" s="6" t="s">
        <v>412</v>
      </c>
      <c r="D6" s="6" t="s">
        <v>89</v>
      </c>
      <c r="E6" s="6" t="s">
        <v>90</v>
      </c>
      <c r="F6" s="6" t="s">
        <v>413</v>
      </c>
      <c r="G6" s="23" t="s">
        <v>405</v>
      </c>
      <c r="H6" s="6"/>
    </row>
    <row r="7" customFormat="false" ht="15" hidden="false" customHeight="false" outlineLevel="0" collapsed="false">
      <c r="A7" s="8" t="s">
        <v>414</v>
      </c>
      <c r="B7" s="9" t="s">
        <v>402</v>
      </c>
      <c r="C7" s="9" t="s">
        <v>415</v>
      </c>
      <c r="D7" s="9" t="s">
        <v>93</v>
      </c>
      <c r="E7" s="9" t="s">
        <v>94</v>
      </c>
      <c r="F7" s="9" t="s">
        <v>413</v>
      </c>
      <c r="G7" s="24" t="s">
        <v>405</v>
      </c>
      <c r="H7" s="9"/>
    </row>
    <row r="8" customFormat="false" ht="23.85" hidden="false" customHeight="false" outlineLevel="0" collapsed="false">
      <c r="A8" s="5" t="s">
        <v>416</v>
      </c>
      <c r="B8" s="6" t="s">
        <v>402</v>
      </c>
      <c r="C8" s="6" t="s">
        <v>417</v>
      </c>
      <c r="D8" s="6" t="s">
        <v>99</v>
      </c>
      <c r="E8" s="6" t="s">
        <v>100</v>
      </c>
      <c r="F8" s="6" t="s">
        <v>418</v>
      </c>
      <c r="G8" s="23" t="s">
        <v>405</v>
      </c>
      <c r="H8" s="23" t="s">
        <v>419</v>
      </c>
    </row>
    <row r="9" customFormat="false" ht="15" hidden="false" customHeight="false" outlineLevel="0" collapsed="false">
      <c r="A9" s="8" t="s">
        <v>420</v>
      </c>
      <c r="B9" s="9" t="s">
        <v>402</v>
      </c>
      <c r="C9" s="9" t="s">
        <v>421</v>
      </c>
      <c r="D9" s="9" t="s">
        <v>103</v>
      </c>
      <c r="E9" s="9" t="s">
        <v>104</v>
      </c>
      <c r="F9" s="9" t="s">
        <v>413</v>
      </c>
      <c r="G9" s="24" t="s">
        <v>405</v>
      </c>
      <c r="H9" s="9"/>
    </row>
    <row r="10" customFormat="false" ht="15" hidden="false" customHeight="false" outlineLevel="0" collapsed="false">
      <c r="A10" s="5" t="s">
        <v>422</v>
      </c>
      <c r="B10" s="6" t="s">
        <v>402</v>
      </c>
      <c r="C10" s="6" t="s">
        <v>423</v>
      </c>
      <c r="D10" s="6" t="s">
        <v>108</v>
      </c>
      <c r="E10" s="6" t="s">
        <v>109</v>
      </c>
      <c r="F10" s="6" t="s">
        <v>413</v>
      </c>
      <c r="G10" s="23" t="s">
        <v>405</v>
      </c>
      <c r="H10" s="6"/>
    </row>
    <row r="11" customFormat="false" ht="15" hidden="false" customHeight="false" outlineLevel="0" collapsed="false">
      <c r="A11" s="8" t="s">
        <v>424</v>
      </c>
      <c r="B11" s="9" t="s">
        <v>402</v>
      </c>
      <c r="C11" s="9" t="s">
        <v>425</v>
      </c>
      <c r="D11" s="9" t="s">
        <v>103</v>
      </c>
      <c r="E11" s="9" t="s">
        <v>113</v>
      </c>
      <c r="F11" s="9" t="s">
        <v>413</v>
      </c>
      <c r="G11" s="24" t="s">
        <v>405</v>
      </c>
      <c r="H11" s="9"/>
    </row>
    <row r="12" customFormat="false" ht="23.85" hidden="false" customHeight="false" outlineLevel="0" collapsed="false">
      <c r="A12" s="5" t="s">
        <v>426</v>
      </c>
      <c r="B12" s="6" t="s">
        <v>402</v>
      </c>
      <c r="C12" s="6" t="s">
        <v>427</v>
      </c>
      <c r="D12" s="6" t="s">
        <v>117</v>
      </c>
      <c r="E12" s="6" t="s">
        <v>118</v>
      </c>
      <c r="F12" s="6" t="s">
        <v>428</v>
      </c>
      <c r="G12" s="23" t="s">
        <v>429</v>
      </c>
      <c r="H12" s="6"/>
    </row>
    <row r="13" customFormat="false" ht="23.85" hidden="false" customHeight="false" outlineLevel="0" collapsed="false">
      <c r="A13" s="8" t="s">
        <v>430</v>
      </c>
      <c r="B13" s="9" t="s">
        <v>431</v>
      </c>
      <c r="C13" s="9" t="s">
        <v>432</v>
      </c>
      <c r="D13" s="9" t="s">
        <v>141</v>
      </c>
      <c r="E13" s="9" t="s">
        <v>142</v>
      </c>
      <c r="F13" s="9" t="s">
        <v>433</v>
      </c>
      <c r="G13" s="24" t="s">
        <v>434</v>
      </c>
      <c r="H13" s="24" t="s">
        <v>435</v>
      </c>
    </row>
    <row r="14" customFormat="false" ht="23.85" hidden="false" customHeight="false" outlineLevel="0" collapsed="false">
      <c r="A14" s="5" t="s">
        <v>436</v>
      </c>
      <c r="B14" s="6" t="s">
        <v>437</v>
      </c>
      <c r="C14" s="6" t="s">
        <v>438</v>
      </c>
      <c r="D14" s="6" t="s">
        <v>146</v>
      </c>
      <c r="E14" s="6" t="s">
        <v>147</v>
      </c>
      <c r="F14" s="6" t="s">
        <v>439</v>
      </c>
      <c r="G14" s="23" t="s">
        <v>440</v>
      </c>
      <c r="H14" s="6"/>
    </row>
    <row r="15" customFormat="false" ht="15" hidden="false" customHeight="false" outlineLevel="0" collapsed="false">
      <c r="A15" s="8" t="s">
        <v>441</v>
      </c>
      <c r="B15" s="9" t="s">
        <v>442</v>
      </c>
      <c r="C15" s="9" t="s">
        <v>443</v>
      </c>
      <c r="D15" s="9" t="s">
        <v>150</v>
      </c>
      <c r="E15" s="9" t="s">
        <v>151</v>
      </c>
      <c r="F15" s="9" t="s">
        <v>439</v>
      </c>
      <c r="G15" s="24" t="s">
        <v>444</v>
      </c>
      <c r="H15" s="9"/>
    </row>
    <row r="16" customFormat="false" ht="15" hidden="false" customHeight="false" outlineLevel="0" collapsed="false">
      <c r="A16" s="5" t="s">
        <v>445</v>
      </c>
      <c r="B16" s="6" t="s">
        <v>446</v>
      </c>
      <c r="C16" s="6" t="s">
        <v>447</v>
      </c>
      <c r="D16" s="6" t="s">
        <v>155</v>
      </c>
      <c r="E16" s="6" t="s">
        <v>156</v>
      </c>
      <c r="F16" s="6" t="s">
        <v>448</v>
      </c>
      <c r="G16" s="23" t="s">
        <v>434</v>
      </c>
      <c r="H16" s="6"/>
    </row>
    <row r="17" customFormat="false" ht="15" hidden="false" customHeight="false" outlineLevel="0" collapsed="false">
      <c r="A17" s="8" t="s">
        <v>449</v>
      </c>
      <c r="B17" s="9" t="s">
        <v>431</v>
      </c>
      <c r="C17" s="9" t="s">
        <v>450</v>
      </c>
      <c r="D17" s="9" t="s">
        <v>160</v>
      </c>
      <c r="E17" s="9" t="s">
        <v>161</v>
      </c>
      <c r="F17" s="9" t="s">
        <v>451</v>
      </c>
      <c r="G17" s="24" t="s">
        <v>452</v>
      </c>
      <c r="H17" s="9"/>
    </row>
    <row r="18" customFormat="false" ht="23.85" hidden="false" customHeight="false" outlineLevel="0" collapsed="false">
      <c r="A18" s="5" t="s">
        <v>453</v>
      </c>
      <c r="B18" s="6" t="s">
        <v>454</v>
      </c>
      <c r="C18" s="6" t="s">
        <v>455</v>
      </c>
      <c r="D18" s="6" t="s">
        <v>176</v>
      </c>
      <c r="E18" s="6" t="s">
        <v>177</v>
      </c>
      <c r="F18" s="6" t="s">
        <v>456</v>
      </c>
      <c r="G18" s="23" t="s">
        <v>457</v>
      </c>
      <c r="H18" s="23" t="s">
        <v>458</v>
      </c>
    </row>
    <row r="19" customFormat="false" ht="23.85" hidden="false" customHeight="false" outlineLevel="0" collapsed="false">
      <c r="A19" s="8" t="s">
        <v>459</v>
      </c>
      <c r="B19" s="9" t="s">
        <v>460</v>
      </c>
      <c r="C19" s="9" t="s">
        <v>461</v>
      </c>
      <c r="D19" s="9" t="s">
        <v>146</v>
      </c>
      <c r="E19" s="9" t="s">
        <v>180</v>
      </c>
      <c r="F19" s="9" t="s">
        <v>462</v>
      </c>
      <c r="G19" s="24" t="s">
        <v>463</v>
      </c>
      <c r="H19" s="9"/>
    </row>
    <row r="20" customFormat="false" ht="15" hidden="false" customHeight="false" outlineLevel="0" collapsed="false">
      <c r="A20" s="5" t="s">
        <v>464</v>
      </c>
      <c r="B20" s="6" t="s">
        <v>460</v>
      </c>
      <c r="C20" s="6" t="s">
        <v>465</v>
      </c>
      <c r="D20" s="6" t="s">
        <v>150</v>
      </c>
      <c r="E20" s="6" t="s">
        <v>184</v>
      </c>
      <c r="F20" s="6" t="s">
        <v>466</v>
      </c>
      <c r="G20" s="23" t="s">
        <v>467</v>
      </c>
      <c r="H20" s="6"/>
    </row>
    <row r="21" customFormat="false" ht="23.85" hidden="false" customHeight="false" outlineLevel="0" collapsed="false">
      <c r="A21" s="8" t="s">
        <v>468</v>
      </c>
      <c r="B21" s="9" t="s">
        <v>460</v>
      </c>
      <c r="C21" s="9" t="s">
        <v>469</v>
      </c>
      <c r="D21" s="9" t="s">
        <v>188</v>
      </c>
      <c r="E21" s="9" t="s">
        <v>189</v>
      </c>
      <c r="F21" s="9" t="s">
        <v>470</v>
      </c>
      <c r="G21" s="24" t="s">
        <v>471</v>
      </c>
      <c r="H21" s="24" t="s">
        <v>472</v>
      </c>
    </row>
    <row r="22" customFormat="false" ht="23.85" hidden="false" customHeight="false" outlineLevel="0" collapsed="false">
      <c r="A22" s="5" t="s">
        <v>473</v>
      </c>
      <c r="B22" s="6" t="s">
        <v>460</v>
      </c>
      <c r="C22" s="6" t="s">
        <v>474</v>
      </c>
      <c r="D22" s="6" t="s">
        <v>193</v>
      </c>
      <c r="E22" s="6" t="s">
        <v>194</v>
      </c>
      <c r="F22" s="6" t="s">
        <v>475</v>
      </c>
      <c r="G22" s="23" t="s">
        <v>476</v>
      </c>
      <c r="H22" s="6"/>
    </row>
    <row r="23" customFormat="false" ht="23.85" hidden="false" customHeight="false" outlineLevel="0" collapsed="false">
      <c r="A23" s="8" t="s">
        <v>477</v>
      </c>
      <c r="B23" s="9" t="s">
        <v>460</v>
      </c>
      <c r="C23" s="9" t="s">
        <v>478</v>
      </c>
      <c r="D23" s="9" t="s">
        <v>198</v>
      </c>
      <c r="E23" s="9" t="s">
        <v>199</v>
      </c>
      <c r="F23" s="9" t="s">
        <v>479</v>
      </c>
      <c r="G23" s="24" t="s">
        <v>480</v>
      </c>
      <c r="H23" s="24" t="s">
        <v>481</v>
      </c>
    </row>
    <row r="24" customFormat="false" ht="23.85" hidden="false" customHeight="false" outlineLevel="0" collapsed="false">
      <c r="A24" s="5" t="s">
        <v>482</v>
      </c>
      <c r="B24" s="6" t="s">
        <v>483</v>
      </c>
      <c r="C24" s="6" t="s">
        <v>484</v>
      </c>
      <c r="D24" s="6" t="s">
        <v>203</v>
      </c>
      <c r="E24" s="6" t="s">
        <v>204</v>
      </c>
      <c r="F24" s="6" t="s">
        <v>485</v>
      </c>
      <c r="G24" s="23" t="s">
        <v>486</v>
      </c>
      <c r="H24" s="6"/>
    </row>
    <row r="25" customFormat="false" ht="15" hidden="false" customHeight="false" outlineLevel="0" collapsed="false">
      <c r="A25" s="8" t="s">
        <v>487</v>
      </c>
      <c r="B25" s="9" t="s">
        <v>488</v>
      </c>
      <c r="C25" s="9" t="s">
        <v>295</v>
      </c>
      <c r="D25" s="9" t="s">
        <v>294</v>
      </c>
      <c r="E25" s="9" t="s">
        <v>489</v>
      </c>
      <c r="F25" s="9" t="s">
        <v>490</v>
      </c>
      <c r="G25" s="24" t="s">
        <v>491</v>
      </c>
      <c r="H25" s="9"/>
    </row>
    <row r="26" customFormat="false" ht="23.85" hidden="false" customHeight="false" outlineLevel="0" collapsed="false">
      <c r="A26" s="5" t="s">
        <v>492</v>
      </c>
      <c r="B26" s="6" t="s">
        <v>460</v>
      </c>
      <c r="C26" s="6" t="s">
        <v>493</v>
      </c>
      <c r="D26" s="6" t="s">
        <v>99</v>
      </c>
      <c r="E26" s="6" t="s">
        <v>206</v>
      </c>
      <c r="F26" s="6" t="s">
        <v>494</v>
      </c>
      <c r="G26" s="23" t="s">
        <v>435</v>
      </c>
      <c r="H26" s="6"/>
    </row>
    <row r="27" customFormat="false" ht="15" hidden="false" customHeight="false" outlineLevel="0" collapsed="false">
      <c r="A27" s="8" t="s">
        <v>495</v>
      </c>
      <c r="B27" s="9" t="s">
        <v>483</v>
      </c>
      <c r="C27" s="9" t="s">
        <v>496</v>
      </c>
      <c r="D27" s="9" t="s">
        <v>93</v>
      </c>
      <c r="E27" s="9" t="s">
        <v>208</v>
      </c>
      <c r="F27" s="9" t="s">
        <v>494</v>
      </c>
      <c r="G27" s="24" t="s">
        <v>435</v>
      </c>
      <c r="H27" s="9"/>
    </row>
    <row r="28" customFormat="false" ht="15" hidden="false" customHeight="false" outlineLevel="0" collapsed="false">
      <c r="A28" s="5" t="s">
        <v>497</v>
      </c>
      <c r="B28" s="6" t="s">
        <v>483</v>
      </c>
      <c r="C28" s="6" t="s">
        <v>496</v>
      </c>
      <c r="D28" s="6" t="s">
        <v>210</v>
      </c>
      <c r="E28" s="6" t="s">
        <v>211</v>
      </c>
      <c r="F28" s="6" t="s">
        <v>494</v>
      </c>
      <c r="G28" s="23" t="s">
        <v>435</v>
      </c>
      <c r="H28" s="6"/>
    </row>
    <row r="29" customFormat="false" ht="15" hidden="false" customHeight="false" outlineLevel="0" collapsed="false">
      <c r="A29" s="8" t="s">
        <v>498</v>
      </c>
      <c r="B29" s="9" t="s">
        <v>460</v>
      </c>
      <c r="C29" s="9" t="s">
        <v>499</v>
      </c>
      <c r="D29" s="9" t="s">
        <v>213</v>
      </c>
      <c r="E29" s="9" t="s">
        <v>214</v>
      </c>
      <c r="F29" s="9" t="s">
        <v>500</v>
      </c>
      <c r="G29" s="24" t="s">
        <v>501</v>
      </c>
      <c r="H29" s="9"/>
    </row>
    <row r="30" customFormat="false" ht="15" hidden="false" customHeight="false" outlineLevel="0" collapsed="false">
      <c r="A30" s="5" t="s">
        <v>502</v>
      </c>
      <c r="B30" s="6" t="s">
        <v>503</v>
      </c>
      <c r="C30" s="6" t="s">
        <v>504</v>
      </c>
      <c r="D30" s="6" t="s">
        <v>141</v>
      </c>
      <c r="E30" s="6" t="s">
        <v>249</v>
      </c>
      <c r="F30" s="6" t="s">
        <v>500</v>
      </c>
      <c r="G30" s="23" t="s">
        <v>501</v>
      </c>
      <c r="H30" s="6"/>
    </row>
    <row r="31" customFormat="false" ht="23.85" hidden="false" customHeight="false" outlineLevel="0" collapsed="false">
      <c r="A31" s="8" t="s">
        <v>505</v>
      </c>
      <c r="B31" s="9" t="s">
        <v>503</v>
      </c>
      <c r="C31" s="9" t="s">
        <v>506</v>
      </c>
      <c r="D31" s="9" t="s">
        <v>103</v>
      </c>
      <c r="E31" s="9" t="s">
        <v>253</v>
      </c>
      <c r="F31" s="9" t="s">
        <v>507</v>
      </c>
      <c r="G31" s="24" t="s">
        <v>508</v>
      </c>
      <c r="H31" s="24" t="s">
        <v>509</v>
      </c>
    </row>
    <row r="32" customFormat="false" ht="15" hidden="false" customHeight="false" outlineLevel="0" collapsed="false">
      <c r="A32" s="5" t="s">
        <v>510</v>
      </c>
      <c r="B32" s="6" t="s">
        <v>511</v>
      </c>
      <c r="C32" s="6" t="s">
        <v>512</v>
      </c>
      <c r="D32" s="6" t="s">
        <v>103</v>
      </c>
      <c r="E32" s="6" t="s">
        <v>221</v>
      </c>
      <c r="F32" s="6" t="s">
        <v>513</v>
      </c>
      <c r="G32" s="23" t="s">
        <v>514</v>
      </c>
      <c r="H32" s="6"/>
    </row>
    <row r="33" customFormat="false" ht="15" hidden="false" customHeight="false" outlineLevel="0" collapsed="false">
      <c r="A33" s="8" t="s">
        <v>515</v>
      </c>
      <c r="B33" s="9" t="s">
        <v>516</v>
      </c>
      <c r="C33" s="9" t="s">
        <v>517</v>
      </c>
      <c r="D33" s="9" t="s">
        <v>103</v>
      </c>
      <c r="E33" s="9" t="s">
        <v>216</v>
      </c>
      <c r="F33" s="9" t="s">
        <v>513</v>
      </c>
      <c r="G33" s="24" t="s">
        <v>514</v>
      </c>
      <c r="H33" s="9"/>
    </row>
    <row r="34" customFormat="false" ht="15" hidden="false" customHeight="false" outlineLevel="0" collapsed="false">
      <c r="A34" s="5" t="s">
        <v>518</v>
      </c>
      <c r="B34" s="6" t="s">
        <v>511</v>
      </c>
      <c r="C34" s="6" t="s">
        <v>228</v>
      </c>
      <c r="D34" s="6" t="s">
        <v>227</v>
      </c>
      <c r="E34" s="6" t="s">
        <v>489</v>
      </c>
      <c r="F34" s="6" t="s">
        <v>519</v>
      </c>
      <c r="G34" s="23" t="s">
        <v>520</v>
      </c>
      <c r="H34" s="6"/>
    </row>
    <row r="35" customFormat="false" ht="15" hidden="false" customHeight="false" outlineLevel="0" collapsed="false">
      <c r="A35" s="8" t="s">
        <v>521</v>
      </c>
      <c r="B35" s="9" t="s">
        <v>511</v>
      </c>
      <c r="C35" s="9" t="s">
        <v>233</v>
      </c>
      <c r="D35" s="9" t="s">
        <v>232</v>
      </c>
      <c r="E35" s="9" t="s">
        <v>489</v>
      </c>
      <c r="F35" s="9" t="s">
        <v>522</v>
      </c>
      <c r="G35" s="24" t="s">
        <v>523</v>
      </c>
      <c r="H35" s="9"/>
    </row>
    <row r="36" customFormat="false" ht="23.85" hidden="false" customHeight="false" outlineLevel="0" collapsed="false">
      <c r="A36" s="5" t="s">
        <v>524</v>
      </c>
      <c r="B36" s="6" t="s">
        <v>525</v>
      </c>
      <c r="C36" s="6" t="s">
        <v>526</v>
      </c>
      <c r="D36" s="6" t="s">
        <v>306</v>
      </c>
      <c r="E36" s="6" t="s">
        <v>307</v>
      </c>
      <c r="F36" s="6" t="s">
        <v>527</v>
      </c>
      <c r="G36" s="23" t="s">
        <v>508</v>
      </c>
      <c r="H36" s="23" t="s">
        <v>528</v>
      </c>
    </row>
    <row r="37" customFormat="false" ht="15" hidden="false" customHeight="false" outlineLevel="0" collapsed="false">
      <c r="A37" s="8" t="s">
        <v>529</v>
      </c>
      <c r="B37" s="9" t="s">
        <v>525</v>
      </c>
      <c r="C37" s="9" t="s">
        <v>530</v>
      </c>
      <c r="D37" s="9" t="s">
        <v>311</v>
      </c>
      <c r="E37" s="9" t="s">
        <v>312</v>
      </c>
      <c r="F37" s="9" t="s">
        <v>531</v>
      </c>
      <c r="G37" s="24" t="s">
        <v>532</v>
      </c>
      <c r="H37" s="9"/>
    </row>
    <row r="38" customFormat="false" ht="15" hidden="false" customHeight="false" outlineLevel="0" collapsed="false">
      <c r="A38" s="5" t="s">
        <v>533</v>
      </c>
      <c r="B38" s="6" t="s">
        <v>488</v>
      </c>
      <c r="C38" s="6" t="s">
        <v>534</v>
      </c>
      <c r="D38" s="6" t="s">
        <v>298</v>
      </c>
      <c r="E38" s="6" t="s">
        <v>299</v>
      </c>
      <c r="F38" s="6" t="s">
        <v>535</v>
      </c>
      <c r="G38" s="23" t="s">
        <v>435</v>
      </c>
      <c r="H38" s="23" t="s">
        <v>536</v>
      </c>
    </row>
    <row r="39" customFormat="false" ht="35.05" hidden="false" customHeight="false" outlineLevel="0" collapsed="false">
      <c r="A39" s="8" t="s">
        <v>537</v>
      </c>
      <c r="B39" s="9" t="s">
        <v>525</v>
      </c>
      <c r="C39" s="9" t="s">
        <v>538</v>
      </c>
      <c r="D39" s="9" t="s">
        <v>298</v>
      </c>
      <c r="E39" s="9" t="s">
        <v>317</v>
      </c>
      <c r="F39" s="9" t="s">
        <v>494</v>
      </c>
      <c r="G39" s="24" t="s">
        <v>435</v>
      </c>
      <c r="H39" s="9"/>
    </row>
    <row r="40" customFormat="false" ht="15" hidden="false" customHeight="false" outlineLevel="0" collapsed="false">
      <c r="A40" s="5" t="s">
        <v>539</v>
      </c>
      <c r="B40" s="6" t="s">
        <v>488</v>
      </c>
      <c r="C40" s="6" t="s">
        <v>540</v>
      </c>
      <c r="D40" s="6" t="s">
        <v>298</v>
      </c>
      <c r="E40" s="6" t="s">
        <v>301</v>
      </c>
      <c r="F40" s="6" t="s">
        <v>494</v>
      </c>
      <c r="G40" s="23" t="s">
        <v>435</v>
      </c>
      <c r="H40" s="6"/>
    </row>
    <row r="41" customFormat="false" ht="35.05" hidden="false" customHeight="false" outlineLevel="0" collapsed="false">
      <c r="A41" s="8" t="s">
        <v>541</v>
      </c>
      <c r="B41" s="9" t="s">
        <v>503</v>
      </c>
      <c r="C41" s="9" t="s">
        <v>542</v>
      </c>
      <c r="D41" s="9" t="s">
        <v>103</v>
      </c>
      <c r="E41" s="9" t="s">
        <v>257</v>
      </c>
      <c r="F41" s="9" t="s">
        <v>543</v>
      </c>
      <c r="G41" s="24" t="s">
        <v>544</v>
      </c>
      <c r="H41" s="9"/>
    </row>
  </sheetData>
  <hyperlinks>
    <hyperlink ref="G4" r:id="rId1" display="https://swarajyamag.com/technology/cathode-anode-separator-foil-electrolyte-can-government-incentives-help-india-crack-the-battery-code"/>
    <hyperlink ref="H4" r:id="rId2" display="https://source.benchmarkminerals.com/article/site-visit-altmin-and-sudeep-advanced-material-support-indias-midstream-ambitions"/>
    <hyperlink ref="G5" r:id="rId3" display="https://swarajyamag.com/technology/cathode-anode-separator-foil-electrolyte-can-government-incentives-help-india-crack-the-battery-code"/>
    <hyperlink ref="H5" r:id="rId4" display="https://www.autocarpro.in/news/himadri-maps-fy27-growth-push-with-battery-materials-birla-tyres-and-speciality-chemicals-132474"/>
    <hyperlink ref="G6" r:id="rId5" display="https://swarajyamag.com/technology/cathode-anode-separator-foil-electrolyte-can-government-incentives-help-india-crack-the-battery-code"/>
    <hyperlink ref="G7" r:id="rId6" display="https://swarajyamag.com/technology/cathode-anode-separator-foil-electrolyte-can-government-incentives-help-india-crack-the-battery-code"/>
    <hyperlink ref="G8" r:id="rId7" display="https://swarajyamag.com/technology/cathode-anode-separator-foil-electrolyte-can-government-incentives-help-india-crack-the-battery-code"/>
    <hyperlink ref="H8" r:id="rId8" display="https://themachinemaker.com/news/rei-expo-2026-and-the-battery-show-india-bring-1400-brands-to-greater-noida/"/>
    <hyperlink ref="G9" r:id="rId9" display="https://swarajyamag.com/technology/cathode-anode-separator-foil-electrolyte-can-government-incentives-help-india-crack-the-battery-code"/>
    <hyperlink ref="G10" r:id="rId10" display="https://swarajyamag.com/technology/cathode-anode-separator-foil-electrolyte-can-government-incentives-help-india-crack-the-battery-code"/>
    <hyperlink ref="G11" r:id="rId11" display="https://swarajyamag.com/technology/cathode-anode-separator-foil-electrolyte-can-government-incentives-help-india-crack-the-battery-code"/>
    <hyperlink ref="G12" r:id="rId12" display="https://www.outlookbusiness.com/news/attero-plans-to-invest-over-rs-8000-crore-in-5-years-to-ramp-up-e-waste-battery-recycling-capacity"/>
    <hyperlink ref="G13" r:id="rId13" display="https://www.zetwerk.com/blog/manufacturing-technology/ev-manufacturing-india-2026/"/>
    <hyperlink ref="H13" r:id="rId14" display="https://ieefa.org/sites/default/files/2026-09/ESSjmk-0926.pdf"/>
    <hyperlink ref="G14" r:id="rId15" display="https://themachinemaker.com/news/exide-industries-to-launch-li-ion-cell-manufacturing-with-6gwh-capacity-by-fy26-end/"/>
    <hyperlink ref="G15" r:id="rId16" display="https://themachinemaker.com/news/amara-raja-postpones-launch-of-lithium-ion-cell-plant-to-fy27/"/>
    <hyperlink ref="G16" r:id="rId17" display="https://www.zetwerk.com/blog/manufacturing-technology/ev-manufacturing-india-2026/"/>
    <hyperlink ref="G17" r:id="rId18" display="https://www.pv-magazine-india.com/2026/04/02/agratas-advances-20-gwh-sanand-battery-facility"/>
    <hyperlink ref="G18" r:id="rId19" display="https://renewablewatch.in/2026/07/17/waaree-ess-commissions-5-15-gwh-bess-container-manufacturing-facility/"/>
    <hyperlink ref="H18" r:id="rId20" display="https://renewablewatch.in/2026/02/20/waaree-to-set-up-16-gwh-battery-gigafactory-in-andhra-pradesh/"/>
    <hyperlink ref="G19" r:id="rId21" display="https://www.mercomindia.com/nash-energy-commissions-2-gwh-battery-pack-manufacturing-line-in-karnataka"/>
    <hyperlink ref="G20" r:id="rId22" display="https://renewablewatch.in/2026/09/11/premier-energies-and-rct-india-to-build-12-gwh-bess-facility-in-telangana/"/>
    <hyperlink ref="G21" r:id="rId23" display="https://www.pv-magazine-india.com/2026/02/04/loom-solar-launches-125-kw-261-kwh-bess-for-ci-applications/"/>
    <hyperlink ref="H21" r:id="rId24" display="https://themachinemaker.com/news/loom-solar-crosses-%e2%82%b91000-crore-annual-turnover/"/>
    <hyperlink ref="G22" r:id="rId25" display="https://ornatesolar.com/unity-ess"/>
    <hyperlink ref="G23" r:id="rId26" display="https://www.saurenergy.com/solar-energy-news/voltra-energy-targets-residential-ci-storage-market-with-lithium-battery-solutions-11176403"/>
    <hyperlink ref="H23" r:id="rId27" display="https://www.thebatterymagazine.com/power-in-modularity-rachit-garg-from-voltra-on-building-smarter-bess-for-indias-growing-grid/"/>
    <hyperlink ref="G24" r:id="rId28" display="https://mobilityoutlook.com/features/how-ipower-batteries-charging-up-for-a-consistent-revenue-growth"/>
    <hyperlink ref="G25" r:id="rId29" display="https://www.massolarsystems.com"/>
    <hyperlink ref="G26" r:id="rId30" display="https://ieefa.org/sites/default/files/2026-09/ESSjmk-0926.pdf"/>
    <hyperlink ref="G27" r:id="rId31" display="https://ieefa.org/sites/default/files/2026-09/ESSjmk-0926.pdf"/>
    <hyperlink ref="G28" r:id="rId32" display="https://ieefa.org/sites/default/files/2026-09/ESSjmk-0926.pdf"/>
    <hyperlink ref="G29" r:id="rId33" display="https://www.pv-magazine-india.com/2026/01/06/delta-electronics-india-to-supply-110-mw-of-power-conditioning-systems-for-prostarms-battery-storage-projects"/>
    <hyperlink ref="G30" r:id="rId34" display="https://www.pv-magazine-india.com/2026/01/06/delta-electronics-india-to-supply-110-mw-of-power-conditioning-systems-for-prostarms-battery-storage-projects"/>
    <hyperlink ref="G31" r:id="rId35" display="https://solarquarter.com/2026/01/16/one-of-the-worlds-largest-bess-projects-sineng-electric-delivers-576mw-pcs-for-khavda-energy-park/"/>
    <hyperlink ref="H31" r:id="rId36" display="https://www.pv-magazine.com/press-releases/sineng-electric-ranked-no-1-for-utility-scale-solar-projects-commissioned-in-india-in-2025/"/>
    <hyperlink ref="G32" r:id="rId37" display="https://www.ess-news.com/2026/07/22/advait-battery-adaptive-engineering-partner-on-bess-manufacturing-platform-in-india/"/>
    <hyperlink ref="G33" r:id="rId38" display="https://www.ess-news.com/2026/07/22/advait-battery-adaptive-engineering-partner-on-bess-manufacturing-platform-in-india/"/>
    <hyperlink ref="G34" r:id="rId39" display="https://solarquarter.com/2025/03/21/powering-indias-green-future-xbattery-launches-bharatbms-a-homegrown-battery-management-system-to-supercharge-clean-energy-transition"/>
    <hyperlink ref="G35" r:id="rId40" display="https://www.autocarpro.in/feature/ion-energy-giving--evs-extra-charge--by-optimising-bms-56953"/>
    <hyperlink ref="G36" r:id="rId41" display="https://solarquarter.com/2026/01/16/one-of-the-worlds-largest-bess-projects-sineng-electric-delivers-576mw-pcs-for-khavda-energy-park/"/>
    <hyperlink ref="H36" r:id="rId42" display="https://www.controlglobal.com/industry-news/news/55400222/emerson-automation-solutions-emersons-ovation-green-scada-software-supports-adani-green-energys-battery-energy-storage-system"/>
    <hyperlink ref="G37" r:id="rId43" display="https://www.ess-news.com/?p=1965"/>
    <hyperlink ref="G38" r:id="rId44" display="https://ieefa.org/sites/default/files/2026-09/ESSjmk-0926.pdf"/>
    <hyperlink ref="H38" r:id="rId45" display="https://www.servotech.in/blog/?p=18388"/>
    <hyperlink ref="G39" r:id="rId46" display="https://ieefa.org/sites/default/files/2026-09/ESSjmk-0926.pdf"/>
    <hyperlink ref="G40" r:id="rId47" display="https://ieefa.org/sites/default/files/2026-09/ESSjmk-0926.pdf"/>
    <hyperlink ref="G41" r:id="rId48" display="https://themachinemaker.com/news/hitachi-energy-invests-inr-2000-crore-in-new-transformer-facility-to-support-indias-expanding-power-grid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46"/>
    <col collapsed="false" customWidth="true" hidden="false" outlineLevel="0" max="3" min="3" style="0" width="110"/>
  </cols>
  <sheetData>
    <row r="1" customFormat="false" ht="17.35" hidden="false" customHeight="false" outlineLevel="0" collapsed="false">
      <c r="A1" s="1" t="s">
        <v>545</v>
      </c>
    </row>
    <row r="3" customFormat="false" ht="15" hidden="false" customHeight="false" outlineLevel="0" collapsed="false">
      <c r="A3" s="3" t="s">
        <v>324</v>
      </c>
      <c r="B3" s="3" t="s">
        <v>546</v>
      </c>
      <c r="C3" s="3" t="s">
        <v>547</v>
      </c>
    </row>
    <row r="4" customFormat="false" ht="15" hidden="false" customHeight="false" outlineLevel="0" collapsed="false">
      <c r="A4" s="6" t="s">
        <v>451</v>
      </c>
      <c r="B4" s="6" t="s">
        <v>548</v>
      </c>
      <c r="C4" s="6" t="s">
        <v>452</v>
      </c>
    </row>
    <row r="5" customFormat="false" ht="23.85" hidden="false" customHeight="false" outlineLevel="0" collapsed="false">
      <c r="A5" s="9" t="s">
        <v>428</v>
      </c>
      <c r="B5" s="9" t="s">
        <v>549</v>
      </c>
      <c r="C5" s="9" t="s">
        <v>429</v>
      </c>
    </row>
    <row r="6" customFormat="false" ht="23.85" hidden="false" customHeight="false" outlineLevel="0" collapsed="false">
      <c r="A6" s="6" t="s">
        <v>543</v>
      </c>
      <c r="B6" s="6" t="s">
        <v>550</v>
      </c>
      <c r="C6" s="6" t="s">
        <v>544</v>
      </c>
    </row>
    <row r="7" customFormat="false" ht="15" hidden="false" customHeight="false" outlineLevel="0" collapsed="false">
      <c r="A7" s="9" t="s">
        <v>551</v>
      </c>
      <c r="B7" s="9" t="s">
        <v>552</v>
      </c>
      <c r="C7" s="9" t="s">
        <v>553</v>
      </c>
    </row>
    <row r="8" customFormat="false" ht="15" hidden="false" customHeight="false" outlineLevel="0" collapsed="false">
      <c r="A8" s="6" t="s">
        <v>554</v>
      </c>
      <c r="B8" s="6" t="s">
        <v>555</v>
      </c>
      <c r="C8" s="6" t="s">
        <v>556</v>
      </c>
    </row>
    <row r="9" customFormat="false" ht="23.85" hidden="false" customHeight="false" outlineLevel="0" collapsed="false">
      <c r="A9" s="9" t="s">
        <v>557</v>
      </c>
      <c r="B9" s="9" t="s">
        <v>558</v>
      </c>
      <c r="C9" s="9" t="s">
        <v>559</v>
      </c>
    </row>
    <row r="10" customFormat="false" ht="23.85" hidden="false" customHeight="false" outlineLevel="0" collapsed="false">
      <c r="A10" s="6" t="s">
        <v>560</v>
      </c>
      <c r="B10" s="6" t="s">
        <v>561</v>
      </c>
      <c r="C10" s="6" t="s">
        <v>562</v>
      </c>
    </row>
    <row r="11" customFormat="false" ht="23.85" hidden="false" customHeight="false" outlineLevel="0" collapsed="false">
      <c r="A11" s="9" t="s">
        <v>563</v>
      </c>
      <c r="B11" s="9" t="s">
        <v>564</v>
      </c>
      <c r="C11" s="9" t="s">
        <v>405</v>
      </c>
    </row>
    <row r="12" customFormat="false" ht="15" hidden="false" customHeight="false" outlineLevel="0" collapsed="false">
      <c r="A12" s="6" t="s">
        <v>439</v>
      </c>
      <c r="B12" s="6" t="s">
        <v>565</v>
      </c>
      <c r="C12" s="6" t="s">
        <v>440</v>
      </c>
    </row>
    <row r="13" customFormat="false" ht="15" hidden="false" customHeight="false" outlineLevel="0" collapsed="false">
      <c r="A13" s="9" t="s">
        <v>566</v>
      </c>
      <c r="B13" s="9" t="s">
        <v>567</v>
      </c>
      <c r="C13" s="9" t="s">
        <v>434</v>
      </c>
    </row>
    <row r="14" customFormat="false" ht="23.85" hidden="false" customHeight="false" outlineLevel="0" collapsed="false">
      <c r="A14" s="6" t="s">
        <v>568</v>
      </c>
      <c r="B14" s="6" t="s">
        <v>569</v>
      </c>
      <c r="C14" s="6" t="s">
        <v>570</v>
      </c>
    </row>
    <row r="15" customFormat="false" ht="15" hidden="false" customHeight="false" outlineLevel="0" collapsed="false">
      <c r="A15" s="9" t="s">
        <v>571</v>
      </c>
      <c r="B15" s="9" t="s">
        <v>572</v>
      </c>
      <c r="C15" s="9" t="s">
        <v>573</v>
      </c>
    </row>
    <row r="16" customFormat="false" ht="15" hidden="false" customHeight="false" outlineLevel="0" collapsed="false">
      <c r="A16" s="6" t="s">
        <v>574</v>
      </c>
      <c r="B16" s="6" t="s">
        <v>575</v>
      </c>
      <c r="C16" s="6" t="s">
        <v>576</v>
      </c>
    </row>
    <row r="17" customFormat="false" ht="15" hidden="false" customHeight="false" outlineLevel="0" collapsed="false">
      <c r="A17" s="9" t="s">
        <v>577</v>
      </c>
      <c r="B17" s="9" t="s">
        <v>578</v>
      </c>
      <c r="C17" s="9" t="s">
        <v>579</v>
      </c>
    </row>
    <row r="18" customFormat="false" ht="15" hidden="false" customHeight="false" outlineLevel="0" collapsed="false">
      <c r="A18" s="6" t="s">
        <v>580</v>
      </c>
      <c r="B18" s="6" t="s">
        <v>581</v>
      </c>
      <c r="C18" s="6" t="s">
        <v>582</v>
      </c>
    </row>
    <row r="19" customFormat="false" ht="15" hidden="false" customHeight="false" outlineLevel="0" collapsed="false">
      <c r="A19" s="9" t="s">
        <v>583</v>
      </c>
      <c r="B19" s="9" t="s">
        <v>584</v>
      </c>
      <c r="C19" s="9" t="s">
        <v>585</v>
      </c>
    </row>
    <row r="20" customFormat="false" ht="15" hidden="false" customHeight="false" outlineLevel="0" collapsed="false">
      <c r="A20" s="6" t="s">
        <v>586</v>
      </c>
      <c r="B20" s="6" t="s">
        <v>587</v>
      </c>
      <c r="C20" s="6" t="s">
        <v>588</v>
      </c>
    </row>
    <row r="21" customFormat="false" ht="15" hidden="false" customHeight="false" outlineLevel="0" collapsed="false">
      <c r="A21" s="9" t="s">
        <v>589</v>
      </c>
      <c r="B21" s="9" t="s">
        <v>590</v>
      </c>
      <c r="C21" s="9" t="s">
        <v>435</v>
      </c>
    </row>
    <row r="22" customFormat="false" ht="23.85" hidden="false" customHeight="false" outlineLevel="0" collapsed="false">
      <c r="A22" s="6" t="s">
        <v>500</v>
      </c>
      <c r="B22" s="6" t="s">
        <v>591</v>
      </c>
      <c r="C22" s="6" t="s">
        <v>501</v>
      </c>
    </row>
    <row r="23" customFormat="false" ht="15" hidden="false" customHeight="false" outlineLevel="0" collapsed="false">
      <c r="A23" s="9" t="s">
        <v>513</v>
      </c>
      <c r="B23" s="9" t="s">
        <v>592</v>
      </c>
      <c r="C23" s="9" t="s">
        <v>514</v>
      </c>
    </row>
    <row r="24" customFormat="false" ht="23.85" hidden="false" customHeight="false" outlineLevel="0" collapsed="false">
      <c r="A24" s="6" t="s">
        <v>593</v>
      </c>
      <c r="B24" s="6" t="s">
        <v>594</v>
      </c>
      <c r="C24" s="6" t="s">
        <v>528</v>
      </c>
    </row>
    <row r="25" customFormat="false" ht="15" hidden="false" customHeight="false" outlineLevel="0" collapsed="false">
      <c r="A25" s="9" t="s">
        <v>595</v>
      </c>
      <c r="B25" s="9" t="s">
        <v>596</v>
      </c>
      <c r="C25" s="9" t="s">
        <v>508</v>
      </c>
    </row>
    <row r="26" customFormat="false" ht="15" hidden="false" customHeight="false" outlineLevel="0" collapsed="false">
      <c r="A26" s="6" t="s">
        <v>531</v>
      </c>
      <c r="B26" s="6" t="s">
        <v>597</v>
      </c>
      <c r="C26" s="6" t="s">
        <v>532</v>
      </c>
    </row>
    <row r="27" customFormat="false" ht="23.85" hidden="false" customHeight="false" outlineLevel="0" collapsed="false">
      <c r="A27" s="9" t="s">
        <v>519</v>
      </c>
      <c r="B27" s="9" t="s">
        <v>598</v>
      </c>
      <c r="C27" s="9" t="s">
        <v>520</v>
      </c>
    </row>
    <row r="28" customFormat="false" ht="15" hidden="false" customHeight="false" outlineLevel="0" collapsed="false">
      <c r="A28" s="6" t="s">
        <v>599</v>
      </c>
      <c r="B28" s="6" t="s">
        <v>600</v>
      </c>
      <c r="C28" s="6" t="s">
        <v>457</v>
      </c>
    </row>
    <row r="29" customFormat="false" ht="15" hidden="false" customHeight="false" outlineLevel="0" collapsed="false">
      <c r="A29" s="9" t="s">
        <v>601</v>
      </c>
      <c r="B29" s="9" t="s">
        <v>602</v>
      </c>
      <c r="C29" s="9" t="s">
        <v>463</v>
      </c>
    </row>
    <row r="30" customFormat="false" ht="15" hidden="false" customHeight="false" outlineLevel="0" collapsed="false">
      <c r="A30" s="6" t="s">
        <v>603</v>
      </c>
      <c r="B30" s="6" t="s">
        <v>604</v>
      </c>
      <c r="C30" s="6" t="s">
        <v>419</v>
      </c>
    </row>
    <row r="31" customFormat="false" ht="15" hidden="false" customHeight="false" outlineLevel="0" collapsed="false">
      <c r="A31" s="9" t="s">
        <v>605</v>
      </c>
      <c r="B31" s="9" t="s">
        <v>606</v>
      </c>
      <c r="C31" s="9" t="s">
        <v>607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2026-10-26T09:38:02Z</dcterms:created>
  <dc:creator>openpyxl</dc:creator>
  <dc:description/>
  <dc:language>en-US</dc:language>
  <cp:lastModifiedBy/>
  <dcterms:modified xsi:type="dcterms:W3CDTF">2026-10-26T09:38:04Z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